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DD97A8EA-9A9A-E61F-A557-7D5A7D7259CE}"/>
  <workbookPr codeName="ThisWorkbook" defaultThemeVersion="166925"/>
  <mc:AlternateContent xmlns:mc="http://schemas.openxmlformats.org/markup-compatibility/2006">
    <mc:Choice Requires="x15">
      <x15ac:absPath xmlns:x15ac="http://schemas.microsoft.com/office/spreadsheetml/2010/11/ac" url="/Users/kennyyu/Desktop/past/FMAT3888 Project in FMS/Project2/Project 2/data/raw/"/>
    </mc:Choice>
  </mc:AlternateContent>
  <xr:revisionPtr revIDLastSave="0" documentId="13_ncr:1_{289A2E01-11B5-534C-83F4-B50EF7864205}" xr6:coauthVersionLast="47" xr6:coauthVersionMax="47" xr10:uidLastSave="{00000000-0000-0000-0000-000000000000}"/>
  <bookViews>
    <workbookView xWindow="0" yWindow="760" windowWidth="34560" windowHeight="20480" activeTab="1" xr2:uid="{00000000-000D-0000-FFFF-FFFF00000000}"/>
  </bookViews>
  <sheets>
    <sheet name="Portfolio Optimisation" sheetId="4" r:id="rId1"/>
    <sheet name="Monthly Raw Data" sheetId="3" r:id="rId2"/>
    <sheet name="Cost and Fees" sheetId="7" r:id="rId3"/>
    <sheet name="Current Portfolios" sheetId="9" state="hidden" r:id="rId4"/>
    <sheet name="APRA SRP" sheetId="8" state="hidden" r:id="rId5"/>
  </sheets>
  <definedNames>
    <definedName name="ASFGrowthWeight">'APRA SRP'!$C$13</definedName>
    <definedName name="AssetClasses">'Monthly Raw Data'!$C$4:$L$4</definedName>
    <definedName name="CorrelMat8">'Portfolio Optimisation'!$O$4:$V$11</definedName>
    <definedName name="CurrentFees">'Cost and Fees'!$C$8:$C$17</definedName>
    <definedName name="DefaultBalancedPortfolio">'Current Portfolios'!$L$6:$L$12</definedName>
    <definedName name="DefaultGrowthPortfolio">'Current Portfolios'!$N$6:$N$12</definedName>
    <definedName name="DefaultPorfolioIndex">'Current Portfolios'!$H$6:$H$13</definedName>
    <definedName name="HistoryDates">'Monthly Raw Data'!$B$5:$B$301</definedName>
    <definedName name="NaivePortfolio">'Portfolio Optimisation'!$L$31:$W$37</definedName>
    <definedName name="NaivePortfolioFees">'Cost and Fees'!#REF!</definedName>
    <definedName name="NaivePortfolioIndex">'Portfolio Optimisation'!$A$4:$A$10</definedName>
    <definedName name="NaivePortfolioIndexAPRAWeights">'APRA SRP'!$C$5:$C$10</definedName>
    <definedName name="NaivePortfolioIndexDefault">'APRA SRP'!$B$5:$B$9</definedName>
    <definedName name="NaivePortfolioIndexWeights">'APRA SRP'!$D$5:$D$9</definedName>
    <definedName name="OptimiserIndex">'Portfolio Optimisation'!$H$15</definedName>
    <definedName name="OptimiserWeightConstraintMax">'Portfolio Optimisation'!$J$4:$J$11</definedName>
    <definedName name="OptimiserWeightConstraintMin">'Portfolio Optimisation'!$I$4:$I$11</definedName>
    <definedName name="PortfolioRangesDefaultMax">'Current Portfolios'!$R$6:$R$13</definedName>
    <definedName name="PortfolioRangesDefaultMin">'Current Portfolios'!$Q$6:$Q$13</definedName>
    <definedName name="Proportionofassetsmanagedactively">'Cost and Fees'!#REF!</definedName>
    <definedName name="ReturnFromData">'Monthly Raw Data'!$B$1</definedName>
    <definedName name="Returns8">'Portfolio Optimisation'!$F$4:$F$11</definedName>
    <definedName name="ReturnToData">'Monthly Raw Data'!$B$2</definedName>
    <definedName name="solver_adj" localSheetId="0" hidden="1">'Portfolio Optimisation'!$W$31:$W$37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'Portfolio Optimisation'!$W$26</definedName>
    <definedName name="solver_lhs10" localSheetId="0" hidden="1">'Portfolio Optimisation'!$W$34</definedName>
    <definedName name="solver_lhs11" localSheetId="0" hidden="1">'Portfolio Optimisation'!$W$35</definedName>
    <definedName name="solver_lhs12" localSheetId="0" hidden="1">'Portfolio Optimisation'!$W$35</definedName>
    <definedName name="solver_lhs13" localSheetId="0" hidden="1">'Portfolio Optimisation'!$W$36</definedName>
    <definedName name="solver_lhs14" localSheetId="0" hidden="1">'Portfolio Optimisation'!$W$36</definedName>
    <definedName name="solver_lhs15" localSheetId="0" hidden="1">'Portfolio Optimisation'!$W$37</definedName>
    <definedName name="solver_lhs16" localSheetId="0" hidden="1">'Portfolio Optimisation'!$W$37</definedName>
    <definedName name="solver_lhs17" localSheetId="0" hidden="1">'Portfolio Optimisation'!$W$38</definedName>
    <definedName name="solver_lhs18" localSheetId="0" hidden="1">'Portfolio Optimisation'!$W$38</definedName>
    <definedName name="solver_lhs19" localSheetId="0" hidden="1">'Portfolio Optimisation'!$V$38</definedName>
    <definedName name="solver_lhs2" localSheetId="0" hidden="1">'Portfolio Optimisation'!$W$25</definedName>
    <definedName name="solver_lhs3" localSheetId="0" hidden="1">'Portfolio Optimisation'!$W$31</definedName>
    <definedName name="solver_lhs4" localSheetId="0" hidden="1">'Portfolio Optimisation'!$W$31</definedName>
    <definedName name="solver_lhs5" localSheetId="0" hidden="1">'Portfolio Optimisation'!$W$32</definedName>
    <definedName name="solver_lhs6" localSheetId="0" hidden="1">'Portfolio Optimisation'!$W$32</definedName>
    <definedName name="solver_lhs7" localSheetId="0" hidden="1">'Portfolio Optimisation'!$W$33</definedName>
    <definedName name="solver_lhs8" localSheetId="0" hidden="1">'Portfolio Optimisation'!$W$33</definedName>
    <definedName name="solver_lhs9" localSheetId="0" hidden="1">'Portfolio Optimisation'!$W$34</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18</definedName>
    <definedName name="solver_nwt" localSheetId="0" hidden="1">1</definedName>
    <definedName name="solver_opt" localSheetId="0" hidden="1">'Portfolio Optimisation'!$W$27</definedName>
    <definedName name="solver_pre" localSheetId="0" hidden="1">0.00000000001</definedName>
    <definedName name="solver_rbv" localSheetId="0" hidden="1">2</definedName>
    <definedName name="solver_rel1" localSheetId="0" hidden="1">2</definedName>
    <definedName name="solver_rel10" localSheetId="0" hidden="1">1</definedName>
    <definedName name="solver_rel11" localSheetId="0" hidden="1">3</definedName>
    <definedName name="solver_rel12" localSheetId="0" hidden="1">1</definedName>
    <definedName name="solver_rel13" localSheetId="0" hidden="1">3</definedName>
    <definedName name="solver_rel14" localSheetId="0" hidden="1">1</definedName>
    <definedName name="solver_rel15" localSheetId="0" hidden="1">3</definedName>
    <definedName name="solver_rel16" localSheetId="0" hidden="1">1</definedName>
    <definedName name="solver_rel17" localSheetId="0" hidden="1">3</definedName>
    <definedName name="solver_rel18" localSheetId="0" hidden="1">1</definedName>
    <definedName name="solver_rel19" localSheetId="0" hidden="1">1</definedName>
    <definedName name="solver_rel2" localSheetId="0" hidden="1">3</definedName>
    <definedName name="solver_rel3" localSheetId="0" hidden="1">3</definedName>
    <definedName name="solver_rel4" localSheetId="0" hidden="1">1</definedName>
    <definedName name="solver_rel5" localSheetId="0" hidden="1">3</definedName>
    <definedName name="solver_rel6" localSheetId="0" hidden="1">1</definedName>
    <definedName name="solver_rel7" localSheetId="0" hidden="1">3</definedName>
    <definedName name="solver_rel8" localSheetId="0" hidden="1">1</definedName>
    <definedName name="solver_rel9" localSheetId="0" hidden="1">3</definedName>
    <definedName name="solver_rhs1" localSheetId="0" hidden="1">0.0895</definedName>
    <definedName name="solver_rhs10" localSheetId="0" hidden="1">0.3</definedName>
    <definedName name="solver_rhs11" localSheetId="0" hidden="1">0</definedName>
    <definedName name="solver_rhs12" localSheetId="0" hidden="1">0.2</definedName>
    <definedName name="solver_rhs13" localSheetId="0" hidden="1">0</definedName>
    <definedName name="solver_rhs14" localSheetId="0" hidden="1">0.000001</definedName>
    <definedName name="solver_rhs15" localSheetId="0" hidden="1">0</definedName>
    <definedName name="solver_rhs16" localSheetId="0" hidden="1">0.000001</definedName>
    <definedName name="solver_rhs17" localSheetId="0" hidden="1">0.05</definedName>
    <definedName name="solver_rhs18" localSheetId="0" hidden="1">0.25</definedName>
    <definedName name="solver_rhs19" localSheetId="0" hidden="1">0.25</definedName>
    <definedName name="solver_rhs2" localSheetId="0" hidden="1">0.6</definedName>
    <definedName name="solver_rhs3" localSheetId="0" hidden="1">0.1</definedName>
    <definedName name="solver_rhs4" localSheetId="0" hidden="1">0.5</definedName>
    <definedName name="solver_rhs5" localSheetId="0" hidden="1">0.1</definedName>
    <definedName name="solver_rhs6" localSheetId="0" hidden="1">0.45</definedName>
    <definedName name="solver_rhs7" localSheetId="0" hidden="1">0</definedName>
    <definedName name="solver_rhs8" localSheetId="0" hidden="1">0.1</definedName>
    <definedName name="solver_rhs9" localSheetId="0" hidden="1">0.05</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VolMat8">'Portfolio Optimisation'!$Y$4:$AF$11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3" l="1"/>
  <c r="AA5" i="3" l="1"/>
  <c r="AA6" i="3" s="1"/>
  <c r="AA7" i="3" s="1"/>
  <c r="Z150" i="3"/>
  <c r="Z151" i="3"/>
  <c r="Z152" i="3"/>
  <c r="Z153" i="3"/>
  <c r="Z154" i="3"/>
  <c r="Z155" i="3"/>
  <c r="Z156" i="3"/>
  <c r="Z157" i="3"/>
  <c r="Z158" i="3"/>
  <c r="Z159" i="3"/>
  <c r="Z160" i="3"/>
  <c r="Z161" i="3"/>
  <c r="Z162" i="3"/>
  <c r="Z163" i="3"/>
  <c r="Z164" i="3"/>
  <c r="Z165" i="3"/>
  <c r="Z166" i="3"/>
  <c r="Z167" i="3"/>
  <c r="Z168" i="3"/>
  <c r="Z169" i="3"/>
  <c r="Z170" i="3"/>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Z235" i="3"/>
  <c r="Z236" i="3"/>
  <c r="Z237" i="3"/>
  <c r="Z238" i="3"/>
  <c r="Z239" i="3"/>
  <c r="Z240" i="3"/>
  <c r="Z241" i="3"/>
  <c r="Z242" i="3"/>
  <c r="Z243" i="3"/>
  <c r="Z244" i="3"/>
  <c r="Z245" i="3"/>
  <c r="Z246" i="3"/>
  <c r="Z247" i="3"/>
  <c r="Z248" i="3"/>
  <c r="Z249" i="3"/>
  <c r="Z250" i="3"/>
  <c r="Z251" i="3"/>
  <c r="Z252" i="3"/>
  <c r="Z253" i="3"/>
  <c r="Z254" i="3"/>
  <c r="Z255" i="3"/>
  <c r="Z256" i="3"/>
  <c r="Z257" i="3"/>
  <c r="Z258" i="3"/>
  <c r="Z259" i="3"/>
  <c r="Z260" i="3"/>
  <c r="Z261" i="3"/>
  <c r="Z262" i="3"/>
  <c r="Z263" i="3"/>
  <c r="Z264" i="3"/>
  <c r="Z265" i="3"/>
  <c r="Z266" i="3"/>
  <c r="Z267" i="3"/>
  <c r="Z268" i="3"/>
  <c r="Z269" i="3"/>
  <c r="Z270" i="3"/>
  <c r="Z271" i="3"/>
  <c r="Z272" i="3"/>
  <c r="Z273" i="3"/>
  <c r="Z274" i="3"/>
  <c r="Z275" i="3"/>
  <c r="Z276" i="3"/>
  <c r="Z277" i="3"/>
  <c r="Z278" i="3"/>
  <c r="Z279" i="3"/>
  <c r="Z280" i="3"/>
  <c r="Z281" i="3"/>
  <c r="Z282" i="3"/>
  <c r="Z283" i="3"/>
  <c r="Z284" i="3"/>
  <c r="Z285" i="3"/>
  <c r="Z286" i="3"/>
  <c r="Z287" i="3"/>
  <c r="Z288" i="3"/>
  <c r="Z289" i="3"/>
  <c r="Z290" i="3"/>
  <c r="Z291" i="3"/>
  <c r="Z292" i="3"/>
  <c r="Z293" i="3"/>
  <c r="Z294" i="3"/>
  <c r="Z295" i="3"/>
  <c r="Z296" i="3"/>
  <c r="Z297" i="3"/>
  <c r="Z298" i="3"/>
  <c r="Z299" i="3"/>
  <c r="Z300" i="3"/>
  <c r="Z301" i="3"/>
  <c r="A150" i="3"/>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A193" i="3" s="1"/>
  <c r="A194" i="3" s="1"/>
  <c r="A195" i="3" s="1"/>
  <c r="A196" i="3" s="1"/>
  <c r="A197" i="3" s="1"/>
  <c r="A198" i="3" s="1"/>
  <c r="A199" i="3" s="1"/>
  <c r="A200" i="3" s="1"/>
  <c r="A201" i="3" s="1"/>
  <c r="A202" i="3" s="1"/>
  <c r="A203" i="3" s="1"/>
  <c r="A204" i="3" s="1"/>
  <c r="A205" i="3" s="1"/>
  <c r="A206" i="3" s="1"/>
  <c r="A207" i="3" s="1"/>
  <c r="A208" i="3" s="1"/>
  <c r="A209" i="3" s="1"/>
  <c r="A210" i="3" s="1"/>
  <c r="A211" i="3" s="1"/>
  <c r="A212"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5" i="3" s="1"/>
  <c r="A236" i="3" s="1"/>
  <c r="A237"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280" i="3" s="1"/>
  <c r="A281" i="3" s="1"/>
  <c r="A282" i="3" s="1"/>
  <c r="A283" i="3" s="1"/>
  <c r="A284" i="3" s="1"/>
  <c r="A285" i="3" s="1"/>
  <c r="A286" i="3" s="1"/>
  <c r="A287" i="3" s="1"/>
  <c r="A288" i="3" s="1"/>
  <c r="A289" i="3" s="1"/>
  <c r="A290" i="3" s="1"/>
  <c r="A291" i="3" s="1"/>
  <c r="A292" i="3" s="1"/>
  <c r="A293" i="3" s="1"/>
  <c r="A294" i="3" s="1"/>
  <c r="A295" i="3" s="1"/>
  <c r="A296" i="3" s="1"/>
  <c r="A297" i="3" s="1"/>
  <c r="A298" i="3" s="1"/>
  <c r="A299" i="3" s="1"/>
  <c r="A300" i="3" s="1"/>
  <c r="A301" i="3" s="1"/>
  <c r="AL156" i="3"/>
  <c r="AL157" i="3"/>
  <c r="AL158" i="3"/>
  <c r="AL160" i="3"/>
  <c r="AL162" i="3"/>
  <c r="AL163" i="3"/>
  <c r="AL164" i="3"/>
  <c r="AL166" i="3"/>
  <c r="AL155" i="3"/>
  <c r="AL159" i="3" l="1"/>
  <c r="AL165" i="3"/>
  <c r="AL167" i="3"/>
  <c r="AL161" i="3"/>
  <c r="Z149" i="3"/>
  <c r="Z148" i="3"/>
  <c r="Z147" i="3"/>
  <c r="Z146" i="3"/>
  <c r="Z145" i="3"/>
  <c r="W38" i="4" l="1"/>
  <c r="V38" i="4"/>
  <c r="U38" i="4"/>
  <c r="T38" i="4"/>
  <c r="S38" i="4"/>
  <c r="R38" i="4"/>
  <c r="Q38" i="4"/>
  <c r="P38" i="4"/>
  <c r="O38" i="4"/>
  <c r="N38" i="4"/>
  <c r="M38" i="4"/>
  <c r="L38" i="4"/>
  <c r="K7" i="9" l="1"/>
  <c r="B11" i="4"/>
  <c r="B10" i="4"/>
  <c r="B9" i="4"/>
  <c r="B8" i="4"/>
  <c r="B7" i="4"/>
  <c r="B6" i="4"/>
  <c r="B5" i="4"/>
  <c r="B4" i="4"/>
  <c r="A6" i="3"/>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O12" i="9"/>
  <c r="M12" i="9"/>
  <c r="K12" i="9"/>
  <c r="I12" i="9"/>
  <c r="O13" i="9"/>
  <c r="O11" i="9"/>
  <c r="O10" i="9"/>
  <c r="O9" i="9"/>
  <c r="O8" i="9"/>
  <c r="O7" i="9"/>
  <c r="O6" i="9"/>
  <c r="M13" i="9"/>
  <c r="M11" i="9"/>
  <c r="M10" i="9"/>
  <c r="M9" i="9"/>
  <c r="M8" i="9"/>
  <c r="M7" i="9"/>
  <c r="M6" i="9"/>
  <c r="K13" i="9"/>
  <c r="K11" i="9"/>
  <c r="K10" i="9"/>
  <c r="K9" i="9"/>
  <c r="K8" i="9"/>
  <c r="K6" i="9"/>
  <c r="I7" i="9"/>
  <c r="I8" i="9"/>
  <c r="I9" i="9"/>
  <c r="I10" i="9"/>
  <c r="I11" i="9"/>
  <c r="I13" i="9"/>
  <c r="I6" i="9"/>
  <c r="C18" i="4"/>
  <c r="C2" i="3"/>
  <c r="C1" i="3"/>
  <c r="C9" i="4" l="1"/>
  <c r="D9" i="4"/>
  <c r="K36" i="4" s="1"/>
  <c r="C10" i="4"/>
  <c r="D10" i="4"/>
  <c r="K37" i="4" s="1"/>
  <c r="E10" i="4"/>
  <c r="F10" i="4" s="1"/>
  <c r="G10" i="4"/>
  <c r="AE10" i="4" s="1"/>
  <c r="M10" i="4"/>
  <c r="U2" i="4" s="1"/>
  <c r="E9" i="4"/>
  <c r="F9" i="4" s="1"/>
  <c r="G9" i="4"/>
  <c r="AD9" i="4" s="1"/>
  <c r="M9" i="4"/>
  <c r="T2" i="4" s="1"/>
  <c r="P12" i="3"/>
  <c r="Q12" i="3"/>
  <c r="R12" i="3"/>
  <c r="S12" i="3"/>
  <c r="T12" i="3"/>
  <c r="U12" i="3"/>
  <c r="V12" i="3"/>
  <c r="W12" i="3"/>
  <c r="O12" i="3"/>
  <c r="H10" i="4" l="1"/>
  <c r="H9" i="4"/>
  <c r="N10" i="4"/>
  <c r="U3" i="4" s="1"/>
  <c r="N9" i="4"/>
  <c r="G6" i="4"/>
  <c r="G7" i="4"/>
  <c r="G8" i="4"/>
  <c r="G11" i="4"/>
  <c r="AF11" i="4" s="1"/>
  <c r="E6" i="4"/>
  <c r="E7" i="4"/>
  <c r="E8" i="4"/>
  <c r="E11" i="4"/>
  <c r="G5" i="4"/>
  <c r="E5" i="4"/>
  <c r="G4" i="4"/>
  <c r="E4" i="4"/>
  <c r="E24" i="4"/>
  <c r="E25" i="4"/>
  <c r="E26" i="4"/>
  <c r="E27" i="4"/>
  <c r="E28" i="4"/>
  <c r="E29" i="4"/>
  <c r="E30" i="4"/>
  <c r="E31" i="4"/>
  <c r="E23" i="4"/>
  <c r="X10" i="4" l="1"/>
  <c r="AE3" i="4" s="1"/>
  <c r="T3" i="4"/>
  <c r="X9" i="4"/>
  <c r="AD3" i="4" s="1"/>
  <c r="F11" i="4"/>
  <c r="H11" i="4" s="1"/>
  <c r="F8" i="4"/>
  <c r="F7" i="4"/>
  <c r="F6" i="4"/>
  <c r="F5" i="4"/>
  <c r="F4" i="4"/>
  <c r="C11" i="4"/>
  <c r="C8" i="4"/>
  <c r="C7" i="4"/>
  <c r="C6" i="4"/>
  <c r="C5" i="4"/>
  <c r="W26" i="4" l="1"/>
  <c r="L26" i="4"/>
  <c r="O26" i="4"/>
  <c r="V26" i="4"/>
  <c r="N26" i="4"/>
  <c r="T26" i="4"/>
  <c r="M26" i="4"/>
  <c r="S26" i="4"/>
  <c r="R26" i="4"/>
  <c r="P26" i="4"/>
  <c r="U26" i="4"/>
  <c r="Q26" i="4"/>
  <c r="L24" i="4"/>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134" i="3"/>
  <c r="Z135" i="3"/>
  <c r="Z136" i="3"/>
  <c r="Z137" i="3"/>
  <c r="Z138" i="3"/>
  <c r="Z139" i="3"/>
  <c r="Z140" i="3"/>
  <c r="Z141" i="3"/>
  <c r="Z142" i="3"/>
  <c r="Z143" i="3"/>
  <c r="Z144" i="3"/>
  <c r="Z5" i="3"/>
  <c r="AP15" i="3"/>
  <c r="AP14" i="3"/>
  <c r="AP13" i="3"/>
  <c r="AP12" i="3"/>
  <c r="AP11" i="3"/>
  <c r="AP10" i="3"/>
  <c r="AP9" i="3"/>
  <c r="AP8" i="3"/>
  <c r="AP7" i="3"/>
  <c r="P4" i="3"/>
  <c r="B9" i="7" s="1"/>
  <c r="Q4" i="3"/>
  <c r="B10" i="7" s="1"/>
  <c r="R4" i="3"/>
  <c r="B11" i="7" s="1"/>
  <c r="S4" i="3"/>
  <c r="B12" i="7" s="1"/>
  <c r="T4" i="3"/>
  <c r="B13" i="7" s="1"/>
  <c r="U4" i="3"/>
  <c r="B14" i="7" s="1"/>
  <c r="V4" i="3"/>
  <c r="B15" i="7" s="1"/>
  <c r="W4" i="3"/>
  <c r="B16" i="7" s="1"/>
  <c r="O4" i="3"/>
  <c r="B8" i="7" s="1"/>
  <c r="M23" i="4"/>
  <c r="N23" i="4" s="1"/>
  <c r="O23" i="4" s="1"/>
  <c r="P23" i="4" s="1"/>
  <c r="Q23" i="4" s="1"/>
  <c r="R23" i="4" s="1"/>
  <c r="S23" i="4" s="1"/>
  <c r="T23" i="4" s="1"/>
  <c r="U23" i="4" s="1"/>
  <c r="V23" i="4" s="1"/>
  <c r="M22" i="4"/>
  <c r="N22" i="4" s="1"/>
  <c r="O22" i="4" s="1"/>
  <c r="P22" i="4" s="1"/>
  <c r="Q22" i="4" s="1"/>
  <c r="R22" i="4" s="1"/>
  <c r="S22" i="4" s="1"/>
  <c r="T22" i="4" s="1"/>
  <c r="U22" i="4" s="1"/>
  <c r="V22" i="4" s="1"/>
  <c r="U40" i="4"/>
  <c r="Q40" i="4"/>
  <c r="P40" i="4"/>
  <c r="C10" i="8"/>
  <c r="D10" i="8" s="1"/>
  <c r="D9" i="8"/>
  <c r="D8" i="8"/>
  <c r="D7" i="8"/>
  <c r="D6" i="8"/>
  <c r="D5" i="8"/>
  <c r="C4" i="4"/>
  <c r="M5" i="4"/>
  <c r="P2" i="4" s="1"/>
  <c r="M6" i="4"/>
  <c r="Q2" i="4" s="1"/>
  <c r="M7" i="4"/>
  <c r="R2" i="4" s="1"/>
  <c r="M8" i="4"/>
  <c r="S2" i="4" s="1"/>
  <c r="M11" i="4"/>
  <c r="V2" i="4" s="1"/>
  <c r="M4" i="4"/>
  <c r="O2" i="4" s="1"/>
  <c r="D5" i="4"/>
  <c r="D6" i="4"/>
  <c r="D7" i="4"/>
  <c r="D8" i="4"/>
  <c r="D11" i="4"/>
  <c r="D4" i="4"/>
  <c r="AE4" i="3"/>
  <c r="AF4" i="3"/>
  <c r="AG4" i="3"/>
  <c r="AH4" i="3"/>
  <c r="AA8" i="3" l="1"/>
  <c r="AA9" i="3" s="1"/>
  <c r="AA10" i="3" s="1"/>
  <c r="AA11" i="3" s="1"/>
  <c r="AA12" i="3" s="1"/>
  <c r="AA13" i="3" s="1"/>
  <c r="AA14" i="3" s="1"/>
  <c r="AA15" i="3" s="1"/>
  <c r="AA16" i="3" s="1"/>
  <c r="AA17" i="3" s="1"/>
  <c r="AA18" i="3" s="1"/>
  <c r="AA19" i="3" s="1"/>
  <c r="AA20" i="3" s="1"/>
  <c r="AA21" i="3" s="1"/>
  <c r="AA22" i="3" s="1"/>
  <c r="AA23" i="3" s="1"/>
  <c r="AA24" i="3" s="1"/>
  <c r="AA25" i="3" s="1"/>
  <c r="AA26" i="3" s="1"/>
  <c r="AA27" i="3" s="1"/>
  <c r="AA28" i="3" s="1"/>
  <c r="AA29" i="3" s="1"/>
  <c r="AA30" i="3" s="1"/>
  <c r="AA31" i="3" s="1"/>
  <c r="AA32" i="3" s="1"/>
  <c r="AA33" i="3" s="1"/>
  <c r="AA34" i="3" s="1"/>
  <c r="AA35" i="3" s="1"/>
  <c r="AA36" i="3" s="1"/>
  <c r="AA37" i="3" s="1"/>
  <c r="AA38" i="3" s="1"/>
  <c r="AA39" i="3" s="1"/>
  <c r="AA40" i="3" s="1"/>
  <c r="AA41" i="3" s="1"/>
  <c r="AA42" i="3" s="1"/>
  <c r="AA43" i="3" s="1"/>
  <c r="AA44" i="3" s="1"/>
  <c r="AA45" i="3" s="1"/>
  <c r="AA46" i="3" s="1"/>
  <c r="AA47" i="3" s="1"/>
  <c r="AA48" i="3" s="1"/>
  <c r="AA49" i="3" s="1"/>
  <c r="AA50" i="3" s="1"/>
  <c r="AA51" i="3" s="1"/>
  <c r="AA52" i="3" s="1"/>
  <c r="AA53" i="3" s="1"/>
  <c r="AA54" i="3" s="1"/>
  <c r="AA55" i="3" s="1"/>
  <c r="AA56" i="3" s="1"/>
  <c r="AA57" i="3" s="1"/>
  <c r="AA58" i="3" s="1"/>
  <c r="AA59" i="3" s="1"/>
  <c r="AA60" i="3" s="1"/>
  <c r="AA61" i="3" s="1"/>
  <c r="AA62" i="3" s="1"/>
  <c r="AA63" i="3" s="1"/>
  <c r="AA64" i="3" s="1"/>
  <c r="AA65" i="3" s="1"/>
  <c r="AA66" i="3" s="1"/>
  <c r="AA67" i="3" s="1"/>
  <c r="AA68" i="3" s="1"/>
  <c r="AA69" i="3" s="1"/>
  <c r="AA70" i="3" s="1"/>
  <c r="AA71" i="3" s="1"/>
  <c r="AA72" i="3" s="1"/>
  <c r="AA73" i="3" s="1"/>
  <c r="AA74" i="3" s="1"/>
  <c r="AA75" i="3" s="1"/>
  <c r="AA76" i="3" s="1"/>
  <c r="AA77" i="3" s="1"/>
  <c r="AA78" i="3" s="1"/>
  <c r="AA79" i="3" s="1"/>
  <c r="AA80" i="3" s="1"/>
  <c r="AA81" i="3" s="1"/>
  <c r="AA82" i="3" s="1"/>
  <c r="AA83" i="3" s="1"/>
  <c r="AA84" i="3" s="1"/>
  <c r="AA85" i="3" s="1"/>
  <c r="AA86" i="3" s="1"/>
  <c r="AA87" i="3" s="1"/>
  <c r="AA88" i="3" s="1"/>
  <c r="AA89" i="3" s="1"/>
  <c r="AA90" i="3" s="1"/>
  <c r="AA91" i="3" s="1"/>
  <c r="AA92" i="3" s="1"/>
  <c r="AA93" i="3" s="1"/>
  <c r="AA94" i="3" s="1"/>
  <c r="AA95" i="3" s="1"/>
  <c r="AA96" i="3" s="1"/>
  <c r="AA97" i="3" s="1"/>
  <c r="AA98" i="3" s="1"/>
  <c r="AA99" i="3" s="1"/>
  <c r="AA100" i="3" s="1"/>
  <c r="AA101" i="3" s="1"/>
  <c r="AA102" i="3" s="1"/>
  <c r="AA103" i="3" s="1"/>
  <c r="AA104" i="3" s="1"/>
  <c r="AA105" i="3" s="1"/>
  <c r="AA106" i="3" s="1"/>
  <c r="AA107" i="3" s="1"/>
  <c r="AA108" i="3" s="1"/>
  <c r="AA109" i="3" s="1"/>
  <c r="AA110" i="3" s="1"/>
  <c r="AA111" i="3" s="1"/>
  <c r="AA112" i="3" s="1"/>
  <c r="AA113" i="3" s="1"/>
  <c r="AA114" i="3" s="1"/>
  <c r="AA115" i="3" s="1"/>
  <c r="AA116" i="3" s="1"/>
  <c r="AA117" i="3" s="1"/>
  <c r="AA118" i="3" s="1"/>
  <c r="AA119" i="3" s="1"/>
  <c r="AA120" i="3" s="1"/>
  <c r="AA121" i="3" s="1"/>
  <c r="AA122" i="3" s="1"/>
  <c r="AA123" i="3" s="1"/>
  <c r="AA124" i="3" s="1"/>
  <c r="AA125" i="3" s="1"/>
  <c r="AA126" i="3" s="1"/>
  <c r="AA127" i="3" s="1"/>
  <c r="AA128" i="3" s="1"/>
  <c r="AA129" i="3" s="1"/>
  <c r="AA130" i="3" s="1"/>
  <c r="AA131" i="3" s="1"/>
  <c r="AA132" i="3" s="1"/>
  <c r="AA133" i="3" s="1"/>
  <c r="AA134" i="3" s="1"/>
  <c r="AA135" i="3" s="1"/>
  <c r="AA136" i="3" s="1"/>
  <c r="AA137" i="3" s="1"/>
  <c r="AA138" i="3" s="1"/>
  <c r="AA139" i="3" s="1"/>
  <c r="AA140" i="3" s="1"/>
  <c r="AA141" i="3" s="1"/>
  <c r="AA142" i="3" s="1"/>
  <c r="AA143" i="3" s="1"/>
  <c r="AA144" i="3" s="1"/>
  <c r="AA145" i="3" s="1"/>
  <c r="AA146" i="3" s="1"/>
  <c r="AA147" i="3" s="1"/>
  <c r="AA148" i="3" s="1"/>
  <c r="AA149" i="3" s="1"/>
  <c r="AA150" i="3" s="1"/>
  <c r="AA151" i="3" s="1"/>
  <c r="AA152" i="3" s="1"/>
  <c r="AA153" i="3" s="1"/>
  <c r="AA154" i="3" s="1"/>
  <c r="AA155" i="3" s="1"/>
  <c r="AI5" i="3"/>
  <c r="AI6" i="3" s="1"/>
  <c r="AI7" i="3" s="1"/>
  <c r="AI8" i="3" s="1"/>
  <c r="AI9" i="3" s="1"/>
  <c r="AI10" i="3" s="1"/>
  <c r="AI11" i="3" s="1"/>
  <c r="AI12" i="3" s="1"/>
  <c r="AI13" i="3" s="1"/>
  <c r="AI14" i="3" s="1"/>
  <c r="AI15" i="3" s="1"/>
  <c r="AI16" i="3" s="1"/>
  <c r="AI17" i="3" s="1"/>
  <c r="AI18" i="3" s="1"/>
  <c r="AI19" i="3" s="1"/>
  <c r="AI20" i="3" s="1"/>
  <c r="AI21" i="3" s="1"/>
  <c r="AI22" i="3" s="1"/>
  <c r="AI23" i="3" s="1"/>
  <c r="AI24" i="3" s="1"/>
  <c r="AI25" i="3" s="1"/>
  <c r="AI26" i="3" s="1"/>
  <c r="AI27" i="3" s="1"/>
  <c r="AI28" i="3" s="1"/>
  <c r="AI29" i="3" s="1"/>
  <c r="AI30" i="3" s="1"/>
  <c r="AI31" i="3" s="1"/>
  <c r="AI32" i="3" s="1"/>
  <c r="AI33" i="3" s="1"/>
  <c r="AI34" i="3" s="1"/>
  <c r="AI35" i="3" s="1"/>
  <c r="AI36" i="3" s="1"/>
  <c r="AI37" i="3" s="1"/>
  <c r="AI38" i="3" s="1"/>
  <c r="AI39" i="3" s="1"/>
  <c r="AI40" i="3" s="1"/>
  <c r="AI41" i="3" s="1"/>
  <c r="AI42" i="3" s="1"/>
  <c r="AI43" i="3" s="1"/>
  <c r="AI44" i="3" s="1"/>
  <c r="AI45" i="3" s="1"/>
  <c r="AI46" i="3" s="1"/>
  <c r="AI47" i="3" s="1"/>
  <c r="AI48" i="3" s="1"/>
  <c r="AI49" i="3" s="1"/>
  <c r="AI50" i="3" s="1"/>
  <c r="AI51" i="3" s="1"/>
  <c r="AI52" i="3" s="1"/>
  <c r="AI53" i="3" s="1"/>
  <c r="AI54" i="3" s="1"/>
  <c r="AI55" i="3" s="1"/>
  <c r="AI56" i="3" s="1"/>
  <c r="AI57" i="3" s="1"/>
  <c r="AI58" i="3" s="1"/>
  <c r="AI59" i="3" s="1"/>
  <c r="AI60" i="3" s="1"/>
  <c r="AI61" i="3" s="1"/>
  <c r="AI62" i="3" s="1"/>
  <c r="AI63" i="3" s="1"/>
  <c r="AI64" i="3" s="1"/>
  <c r="AI65" i="3" s="1"/>
  <c r="AI66" i="3" s="1"/>
  <c r="AI67" i="3" s="1"/>
  <c r="AI68" i="3" s="1"/>
  <c r="AI69" i="3" s="1"/>
  <c r="AI70" i="3" s="1"/>
  <c r="AI71" i="3" s="1"/>
  <c r="AI72" i="3" s="1"/>
  <c r="AI73" i="3" s="1"/>
  <c r="AI74" i="3" s="1"/>
  <c r="AI75" i="3" s="1"/>
  <c r="AI76" i="3" s="1"/>
  <c r="AI77" i="3" s="1"/>
  <c r="AI78" i="3" s="1"/>
  <c r="AI79" i="3" s="1"/>
  <c r="AI80" i="3" s="1"/>
  <c r="AI81" i="3" s="1"/>
  <c r="AI82" i="3" s="1"/>
  <c r="AI83" i="3" s="1"/>
  <c r="AI84" i="3" s="1"/>
  <c r="AI85" i="3" s="1"/>
  <c r="AI86" i="3" s="1"/>
  <c r="AI87" i="3" s="1"/>
  <c r="AI88" i="3" s="1"/>
  <c r="AI89" i="3" s="1"/>
  <c r="AI90" i="3" s="1"/>
  <c r="AI91" i="3" s="1"/>
  <c r="AI92" i="3" s="1"/>
  <c r="AI93" i="3" s="1"/>
  <c r="AI94" i="3" s="1"/>
  <c r="AI95" i="3" s="1"/>
  <c r="AI96" i="3" s="1"/>
  <c r="AI97" i="3" s="1"/>
  <c r="AI98" i="3" s="1"/>
  <c r="AI99" i="3" s="1"/>
  <c r="AI100" i="3" s="1"/>
  <c r="AI101" i="3" s="1"/>
  <c r="AI102" i="3" s="1"/>
  <c r="AI103" i="3" s="1"/>
  <c r="AI104" i="3" s="1"/>
  <c r="AI105" i="3" s="1"/>
  <c r="AI106" i="3" s="1"/>
  <c r="AI107" i="3" s="1"/>
  <c r="AI108" i="3" s="1"/>
  <c r="AI109" i="3" s="1"/>
  <c r="AI110" i="3" s="1"/>
  <c r="AI111" i="3" s="1"/>
  <c r="AI112" i="3" s="1"/>
  <c r="AI113" i="3" s="1"/>
  <c r="AI114" i="3" s="1"/>
  <c r="AI115" i="3" s="1"/>
  <c r="AI116" i="3" s="1"/>
  <c r="AI117" i="3" s="1"/>
  <c r="AI118" i="3" s="1"/>
  <c r="AI119" i="3" s="1"/>
  <c r="AI120" i="3" s="1"/>
  <c r="AI121" i="3" s="1"/>
  <c r="AI122" i="3" s="1"/>
  <c r="AI123" i="3" s="1"/>
  <c r="AI124" i="3" s="1"/>
  <c r="AI125" i="3" s="1"/>
  <c r="AI126" i="3" s="1"/>
  <c r="AI127" i="3" s="1"/>
  <c r="AI128" i="3" s="1"/>
  <c r="AI129" i="3" s="1"/>
  <c r="AI130" i="3" s="1"/>
  <c r="AI131" i="3" s="1"/>
  <c r="AI132" i="3" s="1"/>
  <c r="AI133" i="3" s="1"/>
  <c r="AI134" i="3" s="1"/>
  <c r="AI135" i="3" s="1"/>
  <c r="AI136" i="3" s="1"/>
  <c r="AI137" i="3" s="1"/>
  <c r="AI138" i="3" s="1"/>
  <c r="AI139" i="3" s="1"/>
  <c r="AI140" i="3" s="1"/>
  <c r="AI141" i="3" s="1"/>
  <c r="AI142" i="3" s="1"/>
  <c r="AI143" i="3" s="1"/>
  <c r="AI144" i="3" s="1"/>
  <c r="AI145" i="3" s="1"/>
  <c r="AI146" i="3" s="1"/>
  <c r="AI147" i="3" s="1"/>
  <c r="AI148" i="3" s="1"/>
  <c r="AI149" i="3" s="1"/>
  <c r="AI150" i="3" s="1"/>
  <c r="AI151" i="3" s="1"/>
  <c r="AI152" i="3" s="1"/>
  <c r="AI153" i="3" s="1"/>
  <c r="AI154" i="3" s="1"/>
  <c r="AI155" i="3" s="1"/>
  <c r="AB5" i="3"/>
  <c r="AB6" i="3" s="1"/>
  <c r="AB7" i="3" s="1"/>
  <c r="AB8" i="3" s="1"/>
  <c r="AB9" i="3" s="1"/>
  <c r="AB10" i="3" s="1"/>
  <c r="AB11" i="3" s="1"/>
  <c r="AB12" i="3" s="1"/>
  <c r="AB13" i="3" s="1"/>
  <c r="AB14" i="3" s="1"/>
  <c r="AB15" i="3" s="1"/>
  <c r="AB16" i="3" s="1"/>
  <c r="AB17" i="3" s="1"/>
  <c r="AB18" i="3" s="1"/>
  <c r="AB19" i="3" s="1"/>
  <c r="AB20" i="3" s="1"/>
  <c r="AB21" i="3" s="1"/>
  <c r="AB22" i="3" s="1"/>
  <c r="AB23" i="3" s="1"/>
  <c r="AB24" i="3" s="1"/>
  <c r="AB25" i="3" s="1"/>
  <c r="AB26" i="3" s="1"/>
  <c r="AB27" i="3" s="1"/>
  <c r="AB28" i="3" s="1"/>
  <c r="AB29" i="3" s="1"/>
  <c r="AB30" i="3" s="1"/>
  <c r="AB31" i="3" s="1"/>
  <c r="AB32" i="3" s="1"/>
  <c r="AB33" i="3" s="1"/>
  <c r="AB34" i="3" s="1"/>
  <c r="AB35" i="3" s="1"/>
  <c r="AB36" i="3" s="1"/>
  <c r="AB37" i="3" s="1"/>
  <c r="AB38" i="3" s="1"/>
  <c r="AB39" i="3" s="1"/>
  <c r="AB40" i="3" s="1"/>
  <c r="AB41" i="3" s="1"/>
  <c r="AB42" i="3" s="1"/>
  <c r="AB43" i="3" s="1"/>
  <c r="AB44" i="3" s="1"/>
  <c r="AB45" i="3" s="1"/>
  <c r="AB46" i="3" s="1"/>
  <c r="AB47" i="3" s="1"/>
  <c r="AB48" i="3" s="1"/>
  <c r="AB49" i="3" s="1"/>
  <c r="AB50" i="3" s="1"/>
  <c r="AB51" i="3" s="1"/>
  <c r="AB52" i="3" s="1"/>
  <c r="AB53" i="3" s="1"/>
  <c r="AB54" i="3" s="1"/>
  <c r="AB55" i="3" s="1"/>
  <c r="AB56" i="3" s="1"/>
  <c r="AB57" i="3" s="1"/>
  <c r="AB58" i="3" s="1"/>
  <c r="AB59" i="3" s="1"/>
  <c r="AB60" i="3" s="1"/>
  <c r="AB61" i="3" s="1"/>
  <c r="AB62" i="3" s="1"/>
  <c r="AB63" i="3" s="1"/>
  <c r="AB64" i="3" s="1"/>
  <c r="AB65" i="3" s="1"/>
  <c r="AB66" i="3" s="1"/>
  <c r="AB67" i="3" s="1"/>
  <c r="AB68" i="3" s="1"/>
  <c r="AB69" i="3" s="1"/>
  <c r="AB70" i="3" s="1"/>
  <c r="AB71" i="3" s="1"/>
  <c r="AB72" i="3" s="1"/>
  <c r="AB73" i="3" s="1"/>
  <c r="AB74" i="3" s="1"/>
  <c r="AB75" i="3" s="1"/>
  <c r="AB76" i="3" s="1"/>
  <c r="AB77" i="3" s="1"/>
  <c r="AB78" i="3" s="1"/>
  <c r="AB79" i="3" s="1"/>
  <c r="AB80" i="3" s="1"/>
  <c r="AB81" i="3" s="1"/>
  <c r="AB82" i="3" s="1"/>
  <c r="AB83" i="3" s="1"/>
  <c r="AB84" i="3" s="1"/>
  <c r="AB85" i="3" s="1"/>
  <c r="AB86" i="3" s="1"/>
  <c r="AB87" i="3" s="1"/>
  <c r="AB88" i="3" s="1"/>
  <c r="AB89" i="3" s="1"/>
  <c r="AB90" i="3" s="1"/>
  <c r="AB91" i="3" s="1"/>
  <c r="AB92" i="3" s="1"/>
  <c r="AB93" i="3" s="1"/>
  <c r="AB94" i="3" s="1"/>
  <c r="AB95" i="3" s="1"/>
  <c r="AB96" i="3" s="1"/>
  <c r="AB97" i="3" s="1"/>
  <c r="AB98" i="3" s="1"/>
  <c r="AB99" i="3" s="1"/>
  <c r="AB100" i="3" s="1"/>
  <c r="AB101" i="3" s="1"/>
  <c r="AB102" i="3" s="1"/>
  <c r="AB103" i="3" s="1"/>
  <c r="AB104" i="3" s="1"/>
  <c r="AB105" i="3" s="1"/>
  <c r="AB106" i="3" s="1"/>
  <c r="AB107" i="3" s="1"/>
  <c r="AB108" i="3" s="1"/>
  <c r="AB109" i="3" s="1"/>
  <c r="AB110" i="3" s="1"/>
  <c r="AB111" i="3" s="1"/>
  <c r="AB112" i="3" s="1"/>
  <c r="AB113" i="3" s="1"/>
  <c r="AB114" i="3" s="1"/>
  <c r="AB115" i="3" s="1"/>
  <c r="AB116" i="3" s="1"/>
  <c r="AB117" i="3" s="1"/>
  <c r="AB118" i="3" s="1"/>
  <c r="AB119" i="3" s="1"/>
  <c r="AB120" i="3" s="1"/>
  <c r="AB121" i="3" s="1"/>
  <c r="AB122" i="3" s="1"/>
  <c r="AB123" i="3" s="1"/>
  <c r="AB124" i="3" s="1"/>
  <c r="AB125" i="3" s="1"/>
  <c r="AB126" i="3" s="1"/>
  <c r="AB127" i="3" s="1"/>
  <c r="AB128" i="3" s="1"/>
  <c r="AB129" i="3" s="1"/>
  <c r="AB130" i="3" s="1"/>
  <c r="AB131" i="3" s="1"/>
  <c r="AB132" i="3" s="1"/>
  <c r="AB133" i="3" s="1"/>
  <c r="AB134" i="3" s="1"/>
  <c r="AB135" i="3" s="1"/>
  <c r="AB136" i="3" s="1"/>
  <c r="AB137" i="3" s="1"/>
  <c r="AB138" i="3" s="1"/>
  <c r="AB139" i="3" s="1"/>
  <c r="AB140" i="3" s="1"/>
  <c r="AB141" i="3" s="1"/>
  <c r="AB142" i="3" s="1"/>
  <c r="AB143" i="3" s="1"/>
  <c r="AB144" i="3" s="1"/>
  <c r="AB145" i="3" s="1"/>
  <c r="AB146" i="3" s="1"/>
  <c r="AB147" i="3" s="1"/>
  <c r="AB148" i="3" s="1"/>
  <c r="AB149" i="3" s="1"/>
  <c r="AB150" i="3" s="1"/>
  <c r="AB151" i="3" s="1"/>
  <c r="AB152" i="3" s="1"/>
  <c r="AB153" i="3" s="1"/>
  <c r="AB154" i="3" s="1"/>
  <c r="AB155" i="3" s="1"/>
  <c r="AB156" i="3" s="1"/>
  <c r="AB157" i="3" s="1"/>
  <c r="AB158" i="3" s="1"/>
  <c r="AB159" i="3" s="1"/>
  <c r="AB160" i="3" s="1"/>
  <c r="AB161" i="3" s="1"/>
  <c r="AB162" i="3" s="1"/>
  <c r="AB163" i="3" s="1"/>
  <c r="AB164" i="3" s="1"/>
  <c r="AB165" i="3" s="1"/>
  <c r="AB166" i="3" s="1"/>
  <c r="AB167" i="3" s="1"/>
  <c r="AB168" i="3" s="1"/>
  <c r="AB169" i="3" s="1"/>
  <c r="AB170" i="3" s="1"/>
  <c r="AB171" i="3" s="1"/>
  <c r="AB172" i="3" s="1"/>
  <c r="AB173" i="3" s="1"/>
  <c r="AB174" i="3" s="1"/>
  <c r="AB175" i="3" s="1"/>
  <c r="AB176" i="3" s="1"/>
  <c r="AB177" i="3" s="1"/>
  <c r="AB178" i="3" s="1"/>
  <c r="AB179" i="3" s="1"/>
  <c r="AB180" i="3" s="1"/>
  <c r="AB181" i="3" s="1"/>
  <c r="AB182" i="3" s="1"/>
  <c r="AB183" i="3" s="1"/>
  <c r="AB184" i="3" s="1"/>
  <c r="AB185" i="3" s="1"/>
  <c r="AB186" i="3" s="1"/>
  <c r="AB187" i="3" s="1"/>
  <c r="AB188" i="3" s="1"/>
  <c r="AB189" i="3" s="1"/>
  <c r="AB190" i="3" s="1"/>
  <c r="AB191" i="3" s="1"/>
  <c r="AB192" i="3" s="1"/>
  <c r="AB193" i="3" s="1"/>
  <c r="AB194" i="3" s="1"/>
  <c r="AB195" i="3" s="1"/>
  <c r="AB196" i="3" s="1"/>
  <c r="AB197" i="3" s="1"/>
  <c r="AB198" i="3" s="1"/>
  <c r="AB199" i="3" s="1"/>
  <c r="AB200" i="3" s="1"/>
  <c r="AB201" i="3" s="1"/>
  <c r="AB202" i="3" s="1"/>
  <c r="AB203" i="3" s="1"/>
  <c r="AB204" i="3" s="1"/>
  <c r="AB205" i="3" s="1"/>
  <c r="AB206" i="3" s="1"/>
  <c r="AB207" i="3" s="1"/>
  <c r="AB208" i="3" s="1"/>
  <c r="AB209" i="3" s="1"/>
  <c r="AB210" i="3" s="1"/>
  <c r="AB211" i="3" s="1"/>
  <c r="AB212" i="3" s="1"/>
  <c r="AB213" i="3" s="1"/>
  <c r="AB214" i="3" s="1"/>
  <c r="AB215" i="3" s="1"/>
  <c r="AB216" i="3" s="1"/>
  <c r="AB217" i="3" s="1"/>
  <c r="AB218" i="3" s="1"/>
  <c r="AB219" i="3" s="1"/>
  <c r="AB220" i="3" s="1"/>
  <c r="AB221" i="3" s="1"/>
  <c r="AB222" i="3" s="1"/>
  <c r="AB223" i="3" s="1"/>
  <c r="AB224" i="3" s="1"/>
  <c r="AB225" i="3" s="1"/>
  <c r="AB226" i="3" s="1"/>
  <c r="AB227" i="3" s="1"/>
  <c r="AB228" i="3" s="1"/>
  <c r="AB229" i="3" s="1"/>
  <c r="AB230" i="3" s="1"/>
  <c r="AB231" i="3" s="1"/>
  <c r="AB232" i="3" s="1"/>
  <c r="AB233" i="3" s="1"/>
  <c r="AB234" i="3" s="1"/>
  <c r="AB235" i="3" s="1"/>
  <c r="AB236" i="3" s="1"/>
  <c r="AB237" i="3" s="1"/>
  <c r="AB238" i="3" s="1"/>
  <c r="AB239" i="3" s="1"/>
  <c r="AB240" i="3" s="1"/>
  <c r="AB241" i="3" s="1"/>
  <c r="AB242" i="3" s="1"/>
  <c r="AB243" i="3" s="1"/>
  <c r="AB244" i="3" s="1"/>
  <c r="AB245" i="3" s="1"/>
  <c r="AB246" i="3" s="1"/>
  <c r="AB247" i="3" s="1"/>
  <c r="AB248" i="3" s="1"/>
  <c r="AB249" i="3" s="1"/>
  <c r="AB250" i="3" s="1"/>
  <c r="AB251" i="3" s="1"/>
  <c r="AB252" i="3" s="1"/>
  <c r="AB253" i="3" s="1"/>
  <c r="AB254" i="3" s="1"/>
  <c r="AB255" i="3" s="1"/>
  <c r="AB256" i="3" s="1"/>
  <c r="AB257" i="3" s="1"/>
  <c r="AB258" i="3" s="1"/>
  <c r="AB259" i="3" s="1"/>
  <c r="AB260" i="3" s="1"/>
  <c r="AB261" i="3" s="1"/>
  <c r="AB262" i="3" s="1"/>
  <c r="AB263" i="3" s="1"/>
  <c r="AB264" i="3" s="1"/>
  <c r="AB265" i="3" s="1"/>
  <c r="AB266" i="3" s="1"/>
  <c r="AB267" i="3" s="1"/>
  <c r="AB268" i="3" s="1"/>
  <c r="AB269" i="3" s="1"/>
  <c r="AB270" i="3" s="1"/>
  <c r="AB271" i="3" s="1"/>
  <c r="AB272" i="3" s="1"/>
  <c r="AB273" i="3" s="1"/>
  <c r="AB274" i="3" s="1"/>
  <c r="AB275" i="3" s="1"/>
  <c r="AB276" i="3" s="1"/>
  <c r="AB277" i="3" s="1"/>
  <c r="AB278" i="3" s="1"/>
  <c r="AB279" i="3" s="1"/>
  <c r="AB280" i="3" s="1"/>
  <c r="AB281" i="3" s="1"/>
  <c r="AB282" i="3" s="1"/>
  <c r="AB283" i="3" s="1"/>
  <c r="AB284" i="3" s="1"/>
  <c r="AB285" i="3" s="1"/>
  <c r="AB286" i="3" s="1"/>
  <c r="AB287" i="3" s="1"/>
  <c r="AB288" i="3" s="1"/>
  <c r="AB289" i="3" s="1"/>
  <c r="AB290" i="3" s="1"/>
  <c r="AB291" i="3" s="1"/>
  <c r="AB292" i="3" s="1"/>
  <c r="AB293" i="3" s="1"/>
  <c r="AB294" i="3" s="1"/>
  <c r="AB295" i="3" s="1"/>
  <c r="AB296" i="3" s="1"/>
  <c r="AB297" i="3" s="1"/>
  <c r="AB298" i="3" s="1"/>
  <c r="AB299" i="3" s="1"/>
  <c r="AB300" i="3" s="1"/>
  <c r="AB301" i="3" s="1"/>
  <c r="AH5" i="3"/>
  <c r="AH6" i="3" s="1"/>
  <c r="AH7" i="3" s="1"/>
  <c r="AH8" i="3" s="1"/>
  <c r="AH9" i="3" s="1"/>
  <c r="AH10" i="3" s="1"/>
  <c r="AH11" i="3" s="1"/>
  <c r="AH12" i="3" s="1"/>
  <c r="AH13" i="3" s="1"/>
  <c r="AH14" i="3" s="1"/>
  <c r="AH15" i="3" s="1"/>
  <c r="AH16" i="3" s="1"/>
  <c r="AH17" i="3" s="1"/>
  <c r="AH18" i="3" s="1"/>
  <c r="AH19" i="3" s="1"/>
  <c r="AH20" i="3" s="1"/>
  <c r="AH21" i="3" s="1"/>
  <c r="AH22" i="3" s="1"/>
  <c r="AH23" i="3" s="1"/>
  <c r="AH24" i="3" s="1"/>
  <c r="AH25" i="3" s="1"/>
  <c r="AH26" i="3" s="1"/>
  <c r="AH27" i="3" s="1"/>
  <c r="AH28" i="3" s="1"/>
  <c r="AH29" i="3" s="1"/>
  <c r="AH30" i="3" s="1"/>
  <c r="AH31" i="3" s="1"/>
  <c r="AH32" i="3" s="1"/>
  <c r="AH33" i="3" s="1"/>
  <c r="AH34" i="3" s="1"/>
  <c r="AH35" i="3" s="1"/>
  <c r="AH36" i="3" s="1"/>
  <c r="AH37" i="3" s="1"/>
  <c r="AH38" i="3" s="1"/>
  <c r="AH39" i="3" s="1"/>
  <c r="AH40" i="3" s="1"/>
  <c r="AH41" i="3" s="1"/>
  <c r="AH42" i="3" s="1"/>
  <c r="AH43" i="3" s="1"/>
  <c r="AH44" i="3" s="1"/>
  <c r="AH45" i="3" s="1"/>
  <c r="AH46" i="3" s="1"/>
  <c r="AH47" i="3" s="1"/>
  <c r="AH48" i="3" s="1"/>
  <c r="AH49" i="3" s="1"/>
  <c r="AH50" i="3" s="1"/>
  <c r="AH51" i="3" s="1"/>
  <c r="AH52" i="3" s="1"/>
  <c r="AH53" i="3" s="1"/>
  <c r="AH54" i="3" s="1"/>
  <c r="AH55" i="3" s="1"/>
  <c r="AH56" i="3" s="1"/>
  <c r="AH57" i="3" s="1"/>
  <c r="AH58" i="3" s="1"/>
  <c r="AH59" i="3" s="1"/>
  <c r="AH60" i="3" s="1"/>
  <c r="AH61" i="3" s="1"/>
  <c r="AH62" i="3" s="1"/>
  <c r="AH63" i="3" s="1"/>
  <c r="AH64" i="3" s="1"/>
  <c r="AH65" i="3" s="1"/>
  <c r="AH66" i="3" s="1"/>
  <c r="AH67" i="3" s="1"/>
  <c r="AH68" i="3" s="1"/>
  <c r="AH69" i="3" s="1"/>
  <c r="AH70" i="3" s="1"/>
  <c r="AH71" i="3" s="1"/>
  <c r="AH72" i="3" s="1"/>
  <c r="AH73" i="3" s="1"/>
  <c r="AH74" i="3" s="1"/>
  <c r="AH75" i="3" s="1"/>
  <c r="AH76" i="3" s="1"/>
  <c r="AH77" i="3" s="1"/>
  <c r="AH78" i="3" s="1"/>
  <c r="AH79" i="3" s="1"/>
  <c r="AH80" i="3" s="1"/>
  <c r="AH81" i="3" s="1"/>
  <c r="AH82" i="3" s="1"/>
  <c r="AH83" i="3" s="1"/>
  <c r="AH84" i="3" s="1"/>
  <c r="AH85" i="3" s="1"/>
  <c r="AH86" i="3" s="1"/>
  <c r="AH87" i="3" s="1"/>
  <c r="AH88" i="3" s="1"/>
  <c r="AH89" i="3" s="1"/>
  <c r="AH90" i="3" s="1"/>
  <c r="AH91" i="3" s="1"/>
  <c r="AH92" i="3" s="1"/>
  <c r="AH93" i="3" s="1"/>
  <c r="AH94" i="3" s="1"/>
  <c r="AH95" i="3" s="1"/>
  <c r="AH96" i="3" s="1"/>
  <c r="AH97" i="3" s="1"/>
  <c r="AH98" i="3" s="1"/>
  <c r="AH99" i="3" s="1"/>
  <c r="AH100" i="3" s="1"/>
  <c r="AH101" i="3" s="1"/>
  <c r="AH102" i="3" s="1"/>
  <c r="AH103" i="3" s="1"/>
  <c r="AH104" i="3" s="1"/>
  <c r="AH105" i="3" s="1"/>
  <c r="AH106" i="3" s="1"/>
  <c r="AH107" i="3" s="1"/>
  <c r="AH108" i="3" s="1"/>
  <c r="AH109" i="3" s="1"/>
  <c r="AH110" i="3" s="1"/>
  <c r="AH111" i="3" s="1"/>
  <c r="AH112" i="3" s="1"/>
  <c r="AH113" i="3" s="1"/>
  <c r="AH114" i="3" s="1"/>
  <c r="AH115" i="3" s="1"/>
  <c r="AH116" i="3" s="1"/>
  <c r="AH117" i="3" s="1"/>
  <c r="AH118" i="3" s="1"/>
  <c r="AH119" i="3" s="1"/>
  <c r="AH120" i="3" s="1"/>
  <c r="AH121" i="3" s="1"/>
  <c r="AH122" i="3" s="1"/>
  <c r="AH123" i="3" s="1"/>
  <c r="AH124" i="3" s="1"/>
  <c r="AH125" i="3" s="1"/>
  <c r="AH126" i="3" s="1"/>
  <c r="AH127" i="3" s="1"/>
  <c r="AH128" i="3" s="1"/>
  <c r="AH129" i="3" s="1"/>
  <c r="AH130" i="3" s="1"/>
  <c r="AH131" i="3" s="1"/>
  <c r="AH132" i="3" s="1"/>
  <c r="AH133" i="3" s="1"/>
  <c r="AH134" i="3" s="1"/>
  <c r="AH135" i="3" s="1"/>
  <c r="AH136" i="3" s="1"/>
  <c r="AH137" i="3" s="1"/>
  <c r="AH138" i="3" s="1"/>
  <c r="AH139" i="3" s="1"/>
  <c r="AH140" i="3" s="1"/>
  <c r="AH141" i="3" s="1"/>
  <c r="AH142" i="3" s="1"/>
  <c r="AH143" i="3" s="1"/>
  <c r="AH144" i="3" s="1"/>
  <c r="AH145" i="3" s="1"/>
  <c r="AH146" i="3" s="1"/>
  <c r="AH147" i="3" s="1"/>
  <c r="AH148" i="3" s="1"/>
  <c r="AH149" i="3" s="1"/>
  <c r="AH150" i="3" s="1"/>
  <c r="AH151" i="3" s="1"/>
  <c r="AH152" i="3" s="1"/>
  <c r="AH153" i="3" s="1"/>
  <c r="AH154" i="3" s="1"/>
  <c r="AH155" i="3" s="1"/>
  <c r="AH156" i="3" s="1"/>
  <c r="AH157" i="3" s="1"/>
  <c r="AH158" i="3" s="1"/>
  <c r="AH159" i="3" s="1"/>
  <c r="AH160" i="3" s="1"/>
  <c r="AH161" i="3" s="1"/>
  <c r="AH162" i="3" s="1"/>
  <c r="AH163" i="3" s="1"/>
  <c r="AH164" i="3" s="1"/>
  <c r="AH165" i="3" s="1"/>
  <c r="AH166" i="3" s="1"/>
  <c r="AH167" i="3" s="1"/>
  <c r="AH168" i="3" s="1"/>
  <c r="AH169" i="3" s="1"/>
  <c r="AH170" i="3" s="1"/>
  <c r="AH171" i="3" s="1"/>
  <c r="AH172" i="3" s="1"/>
  <c r="AH173" i="3" s="1"/>
  <c r="AH174" i="3" s="1"/>
  <c r="AH175" i="3" s="1"/>
  <c r="AH176" i="3" s="1"/>
  <c r="AH177" i="3" s="1"/>
  <c r="AH178" i="3" s="1"/>
  <c r="AH179" i="3" s="1"/>
  <c r="AH180" i="3" s="1"/>
  <c r="AH181" i="3" s="1"/>
  <c r="AH182" i="3" s="1"/>
  <c r="AH183" i="3" s="1"/>
  <c r="AH184" i="3" s="1"/>
  <c r="AH185" i="3" s="1"/>
  <c r="AH186" i="3" s="1"/>
  <c r="AH187" i="3" s="1"/>
  <c r="AH188" i="3" s="1"/>
  <c r="AH189" i="3" s="1"/>
  <c r="AH190" i="3" s="1"/>
  <c r="AH191" i="3" s="1"/>
  <c r="AH192" i="3" s="1"/>
  <c r="AH193" i="3" s="1"/>
  <c r="AH194" i="3" s="1"/>
  <c r="AH195" i="3" s="1"/>
  <c r="AH196" i="3" s="1"/>
  <c r="AH197" i="3" s="1"/>
  <c r="AH198" i="3" s="1"/>
  <c r="AH199" i="3" s="1"/>
  <c r="AH200" i="3" s="1"/>
  <c r="AH201" i="3" s="1"/>
  <c r="AH202" i="3" s="1"/>
  <c r="AH203" i="3" s="1"/>
  <c r="AH204" i="3" s="1"/>
  <c r="AH205" i="3" s="1"/>
  <c r="AH206" i="3" s="1"/>
  <c r="AH207" i="3" s="1"/>
  <c r="AH208" i="3" s="1"/>
  <c r="AH209" i="3" s="1"/>
  <c r="AH210" i="3" s="1"/>
  <c r="AH211" i="3" s="1"/>
  <c r="AH212" i="3" s="1"/>
  <c r="AH213" i="3" s="1"/>
  <c r="AH214" i="3" s="1"/>
  <c r="AH215" i="3" s="1"/>
  <c r="AH216" i="3" s="1"/>
  <c r="AH217" i="3" s="1"/>
  <c r="AH218" i="3" s="1"/>
  <c r="AH219" i="3" s="1"/>
  <c r="AH220" i="3" s="1"/>
  <c r="AH221" i="3" s="1"/>
  <c r="AH222" i="3" s="1"/>
  <c r="AH223" i="3" s="1"/>
  <c r="AH224" i="3" s="1"/>
  <c r="AH225" i="3" s="1"/>
  <c r="AH226" i="3" s="1"/>
  <c r="AH227" i="3" s="1"/>
  <c r="AH228" i="3" s="1"/>
  <c r="AH229" i="3" s="1"/>
  <c r="AH230" i="3" s="1"/>
  <c r="AH231" i="3" s="1"/>
  <c r="AH232" i="3" s="1"/>
  <c r="AH233" i="3" s="1"/>
  <c r="AH234" i="3" s="1"/>
  <c r="AH235" i="3" s="1"/>
  <c r="AH236" i="3" s="1"/>
  <c r="AH237" i="3" s="1"/>
  <c r="AH238" i="3" s="1"/>
  <c r="AH239" i="3" s="1"/>
  <c r="AH240" i="3" s="1"/>
  <c r="AH241" i="3" s="1"/>
  <c r="AH242" i="3" s="1"/>
  <c r="AH243" i="3" s="1"/>
  <c r="AH244" i="3" s="1"/>
  <c r="AH245" i="3" s="1"/>
  <c r="AH246" i="3" s="1"/>
  <c r="AH247" i="3" s="1"/>
  <c r="AH248" i="3" s="1"/>
  <c r="AH249" i="3" s="1"/>
  <c r="AH250" i="3" s="1"/>
  <c r="AH251" i="3" s="1"/>
  <c r="AH252" i="3" s="1"/>
  <c r="AH253" i="3" s="1"/>
  <c r="AH254" i="3" s="1"/>
  <c r="AH255" i="3" s="1"/>
  <c r="AH256" i="3" s="1"/>
  <c r="AH257" i="3" s="1"/>
  <c r="AH258" i="3" s="1"/>
  <c r="AH259" i="3" s="1"/>
  <c r="AH260" i="3" s="1"/>
  <c r="AH261" i="3" s="1"/>
  <c r="AH262" i="3" s="1"/>
  <c r="AH263" i="3" s="1"/>
  <c r="AH264" i="3" s="1"/>
  <c r="AH265" i="3" s="1"/>
  <c r="AH266" i="3" s="1"/>
  <c r="AH267" i="3" s="1"/>
  <c r="AH268" i="3" s="1"/>
  <c r="AH269" i="3" s="1"/>
  <c r="AH270" i="3" s="1"/>
  <c r="AH271" i="3" s="1"/>
  <c r="AH272" i="3" s="1"/>
  <c r="AH273" i="3" s="1"/>
  <c r="AH274" i="3" s="1"/>
  <c r="AH275" i="3" s="1"/>
  <c r="AH276" i="3" s="1"/>
  <c r="AH277" i="3" s="1"/>
  <c r="AH278" i="3" s="1"/>
  <c r="AH279" i="3" s="1"/>
  <c r="AH280" i="3" s="1"/>
  <c r="AH281" i="3" s="1"/>
  <c r="AH282" i="3" s="1"/>
  <c r="AH283" i="3" s="1"/>
  <c r="AH284" i="3" s="1"/>
  <c r="AH285" i="3" s="1"/>
  <c r="AH286" i="3" s="1"/>
  <c r="AH287" i="3" s="1"/>
  <c r="AH288" i="3" s="1"/>
  <c r="AH289" i="3" s="1"/>
  <c r="AH290" i="3" s="1"/>
  <c r="AH291" i="3" s="1"/>
  <c r="AH292" i="3" s="1"/>
  <c r="AH293" i="3" s="1"/>
  <c r="AH294" i="3" s="1"/>
  <c r="AH295" i="3" s="1"/>
  <c r="AH296" i="3" s="1"/>
  <c r="AH297" i="3" s="1"/>
  <c r="AH298" i="3" s="1"/>
  <c r="AH299" i="3" s="1"/>
  <c r="AH300" i="3" s="1"/>
  <c r="AH301" i="3" s="1"/>
  <c r="AC5" i="3"/>
  <c r="AC6" i="3" s="1"/>
  <c r="AC7" i="3" s="1"/>
  <c r="AC8" i="3" s="1"/>
  <c r="AC9" i="3" s="1"/>
  <c r="AC10" i="3" s="1"/>
  <c r="AC11" i="3" s="1"/>
  <c r="AC12" i="3" s="1"/>
  <c r="AC13" i="3" s="1"/>
  <c r="AC14" i="3" s="1"/>
  <c r="AC15" i="3" s="1"/>
  <c r="AC16" i="3" s="1"/>
  <c r="AC17" i="3" s="1"/>
  <c r="AC18" i="3" s="1"/>
  <c r="AC19" i="3" s="1"/>
  <c r="AC20" i="3" s="1"/>
  <c r="AC21" i="3" s="1"/>
  <c r="AC22" i="3" s="1"/>
  <c r="AC23" i="3" s="1"/>
  <c r="AC24" i="3" s="1"/>
  <c r="AC25" i="3" s="1"/>
  <c r="AC26" i="3" s="1"/>
  <c r="AC27" i="3" s="1"/>
  <c r="AC28" i="3" s="1"/>
  <c r="AC29" i="3" s="1"/>
  <c r="AC30" i="3" s="1"/>
  <c r="AC31" i="3" s="1"/>
  <c r="AC32" i="3" s="1"/>
  <c r="AC33" i="3" s="1"/>
  <c r="AC34" i="3" s="1"/>
  <c r="AC35" i="3" s="1"/>
  <c r="AC36" i="3" s="1"/>
  <c r="AC37" i="3" s="1"/>
  <c r="AC38" i="3" s="1"/>
  <c r="AC39" i="3" s="1"/>
  <c r="AC40" i="3" s="1"/>
  <c r="AC41" i="3" s="1"/>
  <c r="AC42" i="3" s="1"/>
  <c r="AC43" i="3" s="1"/>
  <c r="AC44" i="3" s="1"/>
  <c r="AC45" i="3" s="1"/>
  <c r="AC46" i="3" s="1"/>
  <c r="AC47" i="3" s="1"/>
  <c r="AC48" i="3" s="1"/>
  <c r="AC49" i="3" s="1"/>
  <c r="AC50" i="3" s="1"/>
  <c r="AC51" i="3" s="1"/>
  <c r="AC52" i="3" s="1"/>
  <c r="AC53" i="3" s="1"/>
  <c r="AC54" i="3" s="1"/>
  <c r="AC55" i="3" s="1"/>
  <c r="AC56" i="3" s="1"/>
  <c r="AC57" i="3" s="1"/>
  <c r="AC58" i="3" s="1"/>
  <c r="AC59" i="3" s="1"/>
  <c r="AC60" i="3" s="1"/>
  <c r="AC61" i="3" s="1"/>
  <c r="AC62" i="3" s="1"/>
  <c r="AC63" i="3" s="1"/>
  <c r="AC64" i="3" s="1"/>
  <c r="AC65" i="3" s="1"/>
  <c r="AC66" i="3" s="1"/>
  <c r="AC67" i="3" s="1"/>
  <c r="AC68" i="3" s="1"/>
  <c r="AC69" i="3" s="1"/>
  <c r="AC70" i="3" s="1"/>
  <c r="AC71" i="3" s="1"/>
  <c r="AC72" i="3" s="1"/>
  <c r="AC73" i="3" s="1"/>
  <c r="AC74" i="3" s="1"/>
  <c r="AC75" i="3" s="1"/>
  <c r="AC76" i="3" s="1"/>
  <c r="AC77" i="3" s="1"/>
  <c r="AC78" i="3" s="1"/>
  <c r="AC79" i="3" s="1"/>
  <c r="AC80" i="3" s="1"/>
  <c r="AC81" i="3" s="1"/>
  <c r="AC82" i="3" s="1"/>
  <c r="AC83" i="3" s="1"/>
  <c r="AC84" i="3" s="1"/>
  <c r="AC85" i="3" s="1"/>
  <c r="AC86" i="3" s="1"/>
  <c r="AC87" i="3" s="1"/>
  <c r="AC88" i="3" s="1"/>
  <c r="AC89" i="3" s="1"/>
  <c r="AC90" i="3" s="1"/>
  <c r="AC91" i="3" s="1"/>
  <c r="AC92" i="3" s="1"/>
  <c r="AC93" i="3" s="1"/>
  <c r="AC94" i="3" s="1"/>
  <c r="AC95" i="3" s="1"/>
  <c r="AC96" i="3" s="1"/>
  <c r="AC97" i="3" s="1"/>
  <c r="AC98" i="3" s="1"/>
  <c r="AC99" i="3" s="1"/>
  <c r="AC100" i="3" s="1"/>
  <c r="AC101" i="3" s="1"/>
  <c r="AC102" i="3" s="1"/>
  <c r="AC103" i="3" s="1"/>
  <c r="AC104" i="3" s="1"/>
  <c r="AC105" i="3" s="1"/>
  <c r="AC106" i="3" s="1"/>
  <c r="AC107" i="3" s="1"/>
  <c r="AC108" i="3" s="1"/>
  <c r="AC109" i="3" s="1"/>
  <c r="AC110" i="3" s="1"/>
  <c r="AC111" i="3" s="1"/>
  <c r="AC112" i="3" s="1"/>
  <c r="AC113" i="3" s="1"/>
  <c r="AC114" i="3" s="1"/>
  <c r="AC115" i="3" s="1"/>
  <c r="AC116" i="3" s="1"/>
  <c r="AC117" i="3" s="1"/>
  <c r="AC118" i="3" s="1"/>
  <c r="AC119" i="3" s="1"/>
  <c r="AC120" i="3" s="1"/>
  <c r="AC121" i="3" s="1"/>
  <c r="AC122" i="3" s="1"/>
  <c r="AC123" i="3" s="1"/>
  <c r="AC124" i="3" s="1"/>
  <c r="AC125" i="3" s="1"/>
  <c r="AC126" i="3" s="1"/>
  <c r="AC127" i="3" s="1"/>
  <c r="AC128" i="3" s="1"/>
  <c r="AC129" i="3" s="1"/>
  <c r="AC130" i="3" s="1"/>
  <c r="AC131" i="3" s="1"/>
  <c r="AC132" i="3" s="1"/>
  <c r="AC133" i="3" s="1"/>
  <c r="AC134" i="3" s="1"/>
  <c r="AC135" i="3" s="1"/>
  <c r="AC136" i="3" s="1"/>
  <c r="AC137" i="3" s="1"/>
  <c r="AC138" i="3" s="1"/>
  <c r="AC139" i="3" s="1"/>
  <c r="AC140" i="3" s="1"/>
  <c r="AC141" i="3" s="1"/>
  <c r="AC142" i="3" s="1"/>
  <c r="AC143" i="3" s="1"/>
  <c r="AC144" i="3" s="1"/>
  <c r="AC145" i="3" s="1"/>
  <c r="AC146" i="3" s="1"/>
  <c r="AC147" i="3" s="1"/>
  <c r="AC148" i="3" s="1"/>
  <c r="AC149" i="3" s="1"/>
  <c r="AC150" i="3" s="1"/>
  <c r="AC151" i="3" s="1"/>
  <c r="AC152" i="3" s="1"/>
  <c r="AC153" i="3" s="1"/>
  <c r="AC154" i="3" s="1"/>
  <c r="AC155" i="3" s="1"/>
  <c r="AC156" i="3" s="1"/>
  <c r="AC157" i="3" s="1"/>
  <c r="AC158" i="3" s="1"/>
  <c r="AC159" i="3" s="1"/>
  <c r="AC160" i="3" s="1"/>
  <c r="AC161" i="3" s="1"/>
  <c r="AC162" i="3" s="1"/>
  <c r="AC163" i="3" s="1"/>
  <c r="AC164" i="3" s="1"/>
  <c r="AC165" i="3" s="1"/>
  <c r="AC166" i="3" s="1"/>
  <c r="AC167" i="3" s="1"/>
  <c r="AC168" i="3" s="1"/>
  <c r="AC169" i="3" s="1"/>
  <c r="AC170" i="3" s="1"/>
  <c r="AC171" i="3" s="1"/>
  <c r="AC172" i="3" s="1"/>
  <c r="AC173" i="3" s="1"/>
  <c r="AC174" i="3" s="1"/>
  <c r="AC175" i="3" s="1"/>
  <c r="AC176" i="3" s="1"/>
  <c r="AC177" i="3" s="1"/>
  <c r="AC178" i="3" s="1"/>
  <c r="AC179" i="3" s="1"/>
  <c r="AC180" i="3" s="1"/>
  <c r="AC181" i="3" s="1"/>
  <c r="AC182" i="3" s="1"/>
  <c r="AC183" i="3" s="1"/>
  <c r="AC184" i="3" s="1"/>
  <c r="AC185" i="3" s="1"/>
  <c r="AC186" i="3" s="1"/>
  <c r="AC187" i="3" s="1"/>
  <c r="AC188" i="3" s="1"/>
  <c r="AC189" i="3" s="1"/>
  <c r="AC190" i="3" s="1"/>
  <c r="AC191" i="3" s="1"/>
  <c r="AC192" i="3" s="1"/>
  <c r="AC193" i="3" s="1"/>
  <c r="AC194" i="3" s="1"/>
  <c r="AC195" i="3" s="1"/>
  <c r="AC196" i="3" s="1"/>
  <c r="AC197" i="3" s="1"/>
  <c r="AC198" i="3" s="1"/>
  <c r="AC199" i="3" s="1"/>
  <c r="AC200" i="3" s="1"/>
  <c r="AC201" i="3" s="1"/>
  <c r="AC202" i="3" s="1"/>
  <c r="AC203" i="3" s="1"/>
  <c r="AC204" i="3" s="1"/>
  <c r="AC205" i="3" s="1"/>
  <c r="AC206" i="3" s="1"/>
  <c r="AC207" i="3" s="1"/>
  <c r="AC208" i="3" s="1"/>
  <c r="AC209" i="3" s="1"/>
  <c r="AC210" i="3" s="1"/>
  <c r="AC211" i="3" s="1"/>
  <c r="AC212" i="3" s="1"/>
  <c r="AC213" i="3" s="1"/>
  <c r="AC214" i="3" s="1"/>
  <c r="AC215" i="3" s="1"/>
  <c r="AC216" i="3" s="1"/>
  <c r="AC217" i="3" s="1"/>
  <c r="AC218" i="3" s="1"/>
  <c r="AC219" i="3" s="1"/>
  <c r="AC220" i="3" s="1"/>
  <c r="AC221" i="3" s="1"/>
  <c r="AC222" i="3" s="1"/>
  <c r="AC223" i="3" s="1"/>
  <c r="AC224" i="3" s="1"/>
  <c r="AC225" i="3" s="1"/>
  <c r="AC226" i="3" s="1"/>
  <c r="AC227" i="3" s="1"/>
  <c r="AC228" i="3" s="1"/>
  <c r="AC229" i="3" s="1"/>
  <c r="AC230" i="3" s="1"/>
  <c r="AC231" i="3" s="1"/>
  <c r="AC232" i="3" s="1"/>
  <c r="AC233" i="3" s="1"/>
  <c r="AC234" i="3" s="1"/>
  <c r="AC235" i="3" s="1"/>
  <c r="AC236" i="3" s="1"/>
  <c r="AC237" i="3" s="1"/>
  <c r="AC238" i="3" s="1"/>
  <c r="AC239" i="3" s="1"/>
  <c r="AC240" i="3" s="1"/>
  <c r="AC241" i="3" s="1"/>
  <c r="AC242" i="3" s="1"/>
  <c r="AC243" i="3" s="1"/>
  <c r="AC244" i="3" s="1"/>
  <c r="AC245" i="3" s="1"/>
  <c r="AC246" i="3" s="1"/>
  <c r="AC247" i="3" s="1"/>
  <c r="AC248" i="3" s="1"/>
  <c r="AC249" i="3" s="1"/>
  <c r="AC250" i="3" s="1"/>
  <c r="AC251" i="3" s="1"/>
  <c r="AC252" i="3" s="1"/>
  <c r="AC253" i="3" s="1"/>
  <c r="AC254" i="3" s="1"/>
  <c r="AC255" i="3" s="1"/>
  <c r="AC256" i="3" s="1"/>
  <c r="AC257" i="3" s="1"/>
  <c r="AC258" i="3" s="1"/>
  <c r="AC259" i="3" s="1"/>
  <c r="AC260" i="3" s="1"/>
  <c r="AC261" i="3" s="1"/>
  <c r="AC262" i="3" s="1"/>
  <c r="AC263" i="3" s="1"/>
  <c r="AC264" i="3" s="1"/>
  <c r="AC265" i="3" s="1"/>
  <c r="AC266" i="3" s="1"/>
  <c r="AC267" i="3" s="1"/>
  <c r="AC268" i="3" s="1"/>
  <c r="AC269" i="3" s="1"/>
  <c r="AC270" i="3" s="1"/>
  <c r="AC271" i="3" s="1"/>
  <c r="AC272" i="3" s="1"/>
  <c r="AC273" i="3" s="1"/>
  <c r="AC274" i="3" s="1"/>
  <c r="AC275" i="3" s="1"/>
  <c r="AC276" i="3" s="1"/>
  <c r="AC277" i="3" s="1"/>
  <c r="AC278" i="3" s="1"/>
  <c r="AC279" i="3" s="1"/>
  <c r="AC280" i="3" s="1"/>
  <c r="AC281" i="3" s="1"/>
  <c r="AC282" i="3" s="1"/>
  <c r="AC283" i="3" s="1"/>
  <c r="AC284" i="3" s="1"/>
  <c r="AC285" i="3" s="1"/>
  <c r="AC286" i="3" s="1"/>
  <c r="AC287" i="3" s="1"/>
  <c r="AC288" i="3" s="1"/>
  <c r="AC289" i="3" s="1"/>
  <c r="AC290" i="3" s="1"/>
  <c r="AC291" i="3" s="1"/>
  <c r="AC292" i="3" s="1"/>
  <c r="AC293" i="3" s="1"/>
  <c r="AC294" i="3" s="1"/>
  <c r="AC295" i="3" s="1"/>
  <c r="AC296" i="3" s="1"/>
  <c r="AC297" i="3" s="1"/>
  <c r="AC298" i="3" s="1"/>
  <c r="AC299" i="3" s="1"/>
  <c r="AC300" i="3" s="1"/>
  <c r="AC301" i="3" s="1"/>
  <c r="AD5" i="3"/>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D203" i="3" s="1"/>
  <c r="AD204" i="3" s="1"/>
  <c r="AD205" i="3" s="1"/>
  <c r="AD206" i="3" s="1"/>
  <c r="AD207" i="3" s="1"/>
  <c r="AD208" i="3" s="1"/>
  <c r="AD209" i="3" s="1"/>
  <c r="AD210" i="3" s="1"/>
  <c r="AD211" i="3" s="1"/>
  <c r="AD212" i="3" s="1"/>
  <c r="AD213" i="3" s="1"/>
  <c r="AD214" i="3" s="1"/>
  <c r="AD215" i="3" s="1"/>
  <c r="AD216" i="3" s="1"/>
  <c r="AD217" i="3" s="1"/>
  <c r="AD218" i="3" s="1"/>
  <c r="AD219" i="3" s="1"/>
  <c r="AD220" i="3" s="1"/>
  <c r="AD221" i="3" s="1"/>
  <c r="AD222" i="3" s="1"/>
  <c r="AD223" i="3" s="1"/>
  <c r="AD224" i="3" s="1"/>
  <c r="AD225" i="3" s="1"/>
  <c r="AD226" i="3" s="1"/>
  <c r="AD227" i="3" s="1"/>
  <c r="AD228" i="3" s="1"/>
  <c r="AD229" i="3" s="1"/>
  <c r="AD230" i="3" s="1"/>
  <c r="AD231" i="3" s="1"/>
  <c r="AD232" i="3" s="1"/>
  <c r="AD233" i="3" s="1"/>
  <c r="AD234" i="3" s="1"/>
  <c r="AD235" i="3" s="1"/>
  <c r="AD236" i="3" s="1"/>
  <c r="AD237" i="3" s="1"/>
  <c r="AD238" i="3" s="1"/>
  <c r="AD239" i="3" s="1"/>
  <c r="AD240" i="3" s="1"/>
  <c r="AD241" i="3" s="1"/>
  <c r="AD242" i="3" s="1"/>
  <c r="AD243" i="3" s="1"/>
  <c r="AD244" i="3" s="1"/>
  <c r="AD245" i="3" s="1"/>
  <c r="AD246" i="3" s="1"/>
  <c r="AD247" i="3" s="1"/>
  <c r="AD248" i="3" s="1"/>
  <c r="AD249" i="3" s="1"/>
  <c r="AD250" i="3" s="1"/>
  <c r="AD251" i="3" s="1"/>
  <c r="AD252" i="3" s="1"/>
  <c r="AD253" i="3" s="1"/>
  <c r="AD254" i="3" s="1"/>
  <c r="AD255" i="3" s="1"/>
  <c r="AD256" i="3" s="1"/>
  <c r="AD257" i="3" s="1"/>
  <c r="AD258" i="3" s="1"/>
  <c r="AD259" i="3" s="1"/>
  <c r="AD260" i="3" s="1"/>
  <c r="AD261" i="3" s="1"/>
  <c r="AD262" i="3" s="1"/>
  <c r="AD263" i="3" s="1"/>
  <c r="AD264" i="3" s="1"/>
  <c r="AD265" i="3" s="1"/>
  <c r="AD266" i="3" s="1"/>
  <c r="AD267" i="3" s="1"/>
  <c r="AD268" i="3" s="1"/>
  <c r="AD269" i="3" s="1"/>
  <c r="AD270" i="3" s="1"/>
  <c r="AD271" i="3" s="1"/>
  <c r="AD272" i="3" s="1"/>
  <c r="AD273" i="3" s="1"/>
  <c r="AD274" i="3" s="1"/>
  <c r="AD275" i="3" s="1"/>
  <c r="AD276" i="3" s="1"/>
  <c r="AD277" i="3" s="1"/>
  <c r="AD278" i="3" s="1"/>
  <c r="AD279" i="3" s="1"/>
  <c r="AD280" i="3" s="1"/>
  <c r="AD281" i="3" s="1"/>
  <c r="AD282" i="3" s="1"/>
  <c r="AD283" i="3" s="1"/>
  <c r="AD284" i="3" s="1"/>
  <c r="AD285" i="3" s="1"/>
  <c r="AD286" i="3" s="1"/>
  <c r="AD287" i="3" s="1"/>
  <c r="AD288" i="3" s="1"/>
  <c r="AD289" i="3" s="1"/>
  <c r="AD290" i="3" s="1"/>
  <c r="AD291" i="3" s="1"/>
  <c r="AD292" i="3" s="1"/>
  <c r="AD293" i="3" s="1"/>
  <c r="AD294" i="3" s="1"/>
  <c r="AD295" i="3" s="1"/>
  <c r="AD296" i="3" s="1"/>
  <c r="AD297" i="3" s="1"/>
  <c r="AD298" i="3" s="1"/>
  <c r="AD299" i="3" s="1"/>
  <c r="AD300" i="3" s="1"/>
  <c r="AD301" i="3" s="1"/>
  <c r="AE5" i="3"/>
  <c r="AE6" i="3" s="1"/>
  <c r="AE7" i="3" s="1"/>
  <c r="AE8" i="3" s="1"/>
  <c r="AE9" i="3" s="1"/>
  <c r="AE10" i="3" s="1"/>
  <c r="AE11" i="3" s="1"/>
  <c r="AE12" i="3" s="1"/>
  <c r="AE13" i="3" s="1"/>
  <c r="AE14" i="3" s="1"/>
  <c r="AE15" i="3" s="1"/>
  <c r="AE16" i="3" s="1"/>
  <c r="AE17" i="3" s="1"/>
  <c r="AE18" i="3" s="1"/>
  <c r="AE19" i="3" s="1"/>
  <c r="AE20" i="3" s="1"/>
  <c r="AE21" i="3" s="1"/>
  <c r="AE22" i="3" s="1"/>
  <c r="AE23" i="3" s="1"/>
  <c r="AE24" i="3" s="1"/>
  <c r="AE25" i="3" s="1"/>
  <c r="AE26" i="3" s="1"/>
  <c r="AE27" i="3" s="1"/>
  <c r="AE28" i="3" s="1"/>
  <c r="AE29" i="3" s="1"/>
  <c r="AE30" i="3" s="1"/>
  <c r="AE31" i="3" s="1"/>
  <c r="AE32" i="3" s="1"/>
  <c r="AE33" i="3" s="1"/>
  <c r="AE34" i="3" s="1"/>
  <c r="AE35" i="3" s="1"/>
  <c r="AE36" i="3" s="1"/>
  <c r="AE37" i="3" s="1"/>
  <c r="AE38" i="3" s="1"/>
  <c r="AE39" i="3" s="1"/>
  <c r="AE40" i="3" s="1"/>
  <c r="AE41" i="3" s="1"/>
  <c r="AE42" i="3" s="1"/>
  <c r="AE43" i="3" s="1"/>
  <c r="AE44" i="3" s="1"/>
  <c r="AE45" i="3" s="1"/>
  <c r="AE46" i="3" s="1"/>
  <c r="AE47" i="3" s="1"/>
  <c r="AE48" i="3" s="1"/>
  <c r="AE49" i="3" s="1"/>
  <c r="AE50" i="3" s="1"/>
  <c r="AE51" i="3" s="1"/>
  <c r="AE52" i="3" s="1"/>
  <c r="AE53" i="3" s="1"/>
  <c r="AE54" i="3" s="1"/>
  <c r="AE55" i="3" s="1"/>
  <c r="AE56" i="3" s="1"/>
  <c r="AE57" i="3" s="1"/>
  <c r="AE58" i="3" s="1"/>
  <c r="AE59" i="3" s="1"/>
  <c r="AE60" i="3" s="1"/>
  <c r="AE61" i="3" s="1"/>
  <c r="AE62" i="3" s="1"/>
  <c r="AE63" i="3" s="1"/>
  <c r="AE64" i="3" s="1"/>
  <c r="AE65" i="3" s="1"/>
  <c r="AE66" i="3" s="1"/>
  <c r="AE67" i="3" s="1"/>
  <c r="AE68" i="3" s="1"/>
  <c r="AE69" i="3" s="1"/>
  <c r="AE70" i="3" s="1"/>
  <c r="AE71" i="3" s="1"/>
  <c r="AE72" i="3" s="1"/>
  <c r="AE73" i="3" s="1"/>
  <c r="AE74" i="3" s="1"/>
  <c r="AE75" i="3" s="1"/>
  <c r="AE76" i="3" s="1"/>
  <c r="AE77" i="3" s="1"/>
  <c r="AE78" i="3" s="1"/>
  <c r="AE79" i="3" s="1"/>
  <c r="AE80" i="3" s="1"/>
  <c r="AE81" i="3" s="1"/>
  <c r="AE82" i="3" s="1"/>
  <c r="AE83" i="3" s="1"/>
  <c r="AE84" i="3" s="1"/>
  <c r="AE85" i="3" s="1"/>
  <c r="AE86" i="3" s="1"/>
  <c r="AE87" i="3" s="1"/>
  <c r="AE88" i="3" s="1"/>
  <c r="AE89" i="3" s="1"/>
  <c r="AE90" i="3" s="1"/>
  <c r="AE91" i="3" s="1"/>
  <c r="AE92" i="3" s="1"/>
  <c r="AE93" i="3" s="1"/>
  <c r="AE94" i="3" s="1"/>
  <c r="AE95" i="3" s="1"/>
  <c r="AE96" i="3" s="1"/>
  <c r="AE97" i="3" s="1"/>
  <c r="AE98" i="3" s="1"/>
  <c r="AE99" i="3" s="1"/>
  <c r="AE100" i="3" s="1"/>
  <c r="AE101" i="3" s="1"/>
  <c r="AE102" i="3" s="1"/>
  <c r="AE103" i="3" s="1"/>
  <c r="AE104" i="3" s="1"/>
  <c r="AE105" i="3" s="1"/>
  <c r="AE106" i="3" s="1"/>
  <c r="AE107" i="3" s="1"/>
  <c r="AE108" i="3" s="1"/>
  <c r="AE109" i="3" s="1"/>
  <c r="AE110" i="3" s="1"/>
  <c r="AE111" i="3" s="1"/>
  <c r="AE112" i="3" s="1"/>
  <c r="AE113" i="3" s="1"/>
  <c r="AE114" i="3" s="1"/>
  <c r="AE115" i="3" s="1"/>
  <c r="AE116" i="3" s="1"/>
  <c r="AE117" i="3" s="1"/>
  <c r="AE118" i="3" s="1"/>
  <c r="AE119" i="3" s="1"/>
  <c r="AE120" i="3" s="1"/>
  <c r="AE121" i="3" s="1"/>
  <c r="AE122" i="3" s="1"/>
  <c r="AE123" i="3" s="1"/>
  <c r="AE124" i="3" s="1"/>
  <c r="AE125" i="3" s="1"/>
  <c r="AE126" i="3" s="1"/>
  <c r="AE127" i="3" s="1"/>
  <c r="AE128" i="3" s="1"/>
  <c r="AE129" i="3" s="1"/>
  <c r="AE130" i="3" s="1"/>
  <c r="AE131" i="3" s="1"/>
  <c r="AE132" i="3" s="1"/>
  <c r="AE133" i="3" s="1"/>
  <c r="AE134" i="3" s="1"/>
  <c r="AE135" i="3" s="1"/>
  <c r="AE136" i="3" s="1"/>
  <c r="AE137" i="3" s="1"/>
  <c r="AE138" i="3" s="1"/>
  <c r="AE139" i="3" s="1"/>
  <c r="AE140" i="3" s="1"/>
  <c r="AE141" i="3" s="1"/>
  <c r="AE142" i="3" s="1"/>
  <c r="AE143" i="3" s="1"/>
  <c r="AE144" i="3" s="1"/>
  <c r="AE145" i="3" s="1"/>
  <c r="AE146" i="3" s="1"/>
  <c r="AE147" i="3" s="1"/>
  <c r="AE148" i="3" s="1"/>
  <c r="AE149" i="3" s="1"/>
  <c r="AE150" i="3" s="1"/>
  <c r="AE151" i="3" s="1"/>
  <c r="AE152" i="3" s="1"/>
  <c r="AE153" i="3" s="1"/>
  <c r="AE154" i="3" s="1"/>
  <c r="AE155" i="3" s="1"/>
  <c r="AE156" i="3" s="1"/>
  <c r="AE157" i="3" s="1"/>
  <c r="AE158" i="3" s="1"/>
  <c r="AE159" i="3" s="1"/>
  <c r="AE160" i="3" s="1"/>
  <c r="AE161" i="3" s="1"/>
  <c r="AE162" i="3" s="1"/>
  <c r="AE163" i="3" s="1"/>
  <c r="AE164" i="3" s="1"/>
  <c r="AE165" i="3" s="1"/>
  <c r="AE166" i="3" s="1"/>
  <c r="AE167" i="3" s="1"/>
  <c r="AE168" i="3" s="1"/>
  <c r="AE169" i="3" s="1"/>
  <c r="AE170" i="3" s="1"/>
  <c r="AE171" i="3" s="1"/>
  <c r="AE172" i="3" s="1"/>
  <c r="AE173" i="3" s="1"/>
  <c r="AE174" i="3" s="1"/>
  <c r="AE175" i="3" s="1"/>
  <c r="AE176" i="3" s="1"/>
  <c r="AE177" i="3" s="1"/>
  <c r="AE178" i="3" s="1"/>
  <c r="AE179" i="3" s="1"/>
  <c r="AE180" i="3" s="1"/>
  <c r="AE181" i="3" s="1"/>
  <c r="AE182" i="3" s="1"/>
  <c r="AE183" i="3" s="1"/>
  <c r="AE184" i="3" s="1"/>
  <c r="AE185" i="3" s="1"/>
  <c r="AE186" i="3" s="1"/>
  <c r="AE187" i="3" s="1"/>
  <c r="AE188" i="3" s="1"/>
  <c r="AE189" i="3" s="1"/>
  <c r="AE190" i="3" s="1"/>
  <c r="AE191" i="3" s="1"/>
  <c r="AE192" i="3" s="1"/>
  <c r="AE193" i="3" s="1"/>
  <c r="AE194" i="3" s="1"/>
  <c r="AE195" i="3" s="1"/>
  <c r="AE196" i="3" s="1"/>
  <c r="AE197" i="3" s="1"/>
  <c r="AE198" i="3" s="1"/>
  <c r="AE199" i="3" s="1"/>
  <c r="AE200" i="3" s="1"/>
  <c r="AE201" i="3" s="1"/>
  <c r="AE202" i="3" s="1"/>
  <c r="AE203" i="3" s="1"/>
  <c r="AE204" i="3" s="1"/>
  <c r="AE205" i="3" s="1"/>
  <c r="AE206" i="3" s="1"/>
  <c r="AE207" i="3" s="1"/>
  <c r="AE208" i="3" s="1"/>
  <c r="AE209" i="3" s="1"/>
  <c r="AE210" i="3" s="1"/>
  <c r="AE211" i="3" s="1"/>
  <c r="AE212" i="3" s="1"/>
  <c r="AE213" i="3" s="1"/>
  <c r="AE214" i="3" s="1"/>
  <c r="AE215" i="3" s="1"/>
  <c r="AE216" i="3" s="1"/>
  <c r="AE217" i="3" s="1"/>
  <c r="AE218" i="3" s="1"/>
  <c r="AE219" i="3" s="1"/>
  <c r="AE220" i="3" s="1"/>
  <c r="AE221" i="3" s="1"/>
  <c r="AE222" i="3" s="1"/>
  <c r="AE223" i="3" s="1"/>
  <c r="AE224" i="3" s="1"/>
  <c r="AE225" i="3" s="1"/>
  <c r="AE226" i="3" s="1"/>
  <c r="AE227" i="3" s="1"/>
  <c r="AE228" i="3" s="1"/>
  <c r="AE229" i="3" s="1"/>
  <c r="AE230" i="3" s="1"/>
  <c r="AE231" i="3" s="1"/>
  <c r="AE232" i="3" s="1"/>
  <c r="AE233" i="3" s="1"/>
  <c r="AE234" i="3" s="1"/>
  <c r="AE235" i="3" s="1"/>
  <c r="AE236" i="3" s="1"/>
  <c r="AE237" i="3" s="1"/>
  <c r="AE238" i="3" s="1"/>
  <c r="AE239" i="3" s="1"/>
  <c r="AE240" i="3" s="1"/>
  <c r="AE241" i="3" s="1"/>
  <c r="AE242" i="3" s="1"/>
  <c r="AE243" i="3" s="1"/>
  <c r="AE244" i="3" s="1"/>
  <c r="AE245" i="3" s="1"/>
  <c r="AE246" i="3" s="1"/>
  <c r="AE247" i="3" s="1"/>
  <c r="AE248" i="3" s="1"/>
  <c r="AE249" i="3" s="1"/>
  <c r="AE250" i="3" s="1"/>
  <c r="AE251" i="3" s="1"/>
  <c r="AE252" i="3" s="1"/>
  <c r="AE253" i="3" s="1"/>
  <c r="AE254" i="3" s="1"/>
  <c r="AE255" i="3" s="1"/>
  <c r="AE256" i="3" s="1"/>
  <c r="AE257" i="3" s="1"/>
  <c r="AE258" i="3" s="1"/>
  <c r="AE259" i="3" s="1"/>
  <c r="AE260" i="3" s="1"/>
  <c r="AE261" i="3" s="1"/>
  <c r="AE262" i="3" s="1"/>
  <c r="AE263" i="3" s="1"/>
  <c r="AE264" i="3" s="1"/>
  <c r="AE265" i="3" s="1"/>
  <c r="AE266" i="3" s="1"/>
  <c r="AE267" i="3" s="1"/>
  <c r="AE268" i="3" s="1"/>
  <c r="AE269" i="3" s="1"/>
  <c r="AE270" i="3" s="1"/>
  <c r="AE271" i="3" s="1"/>
  <c r="AE272" i="3" s="1"/>
  <c r="AE273" i="3" s="1"/>
  <c r="AE274" i="3" s="1"/>
  <c r="AE275" i="3" s="1"/>
  <c r="AE276" i="3" s="1"/>
  <c r="AE277" i="3" s="1"/>
  <c r="AE278" i="3" s="1"/>
  <c r="AE279" i="3" s="1"/>
  <c r="AE280" i="3" s="1"/>
  <c r="AE281" i="3" s="1"/>
  <c r="AE282" i="3" s="1"/>
  <c r="AE283" i="3" s="1"/>
  <c r="AE284" i="3" s="1"/>
  <c r="AE285" i="3" s="1"/>
  <c r="AE286" i="3" s="1"/>
  <c r="AE287" i="3" s="1"/>
  <c r="AE288" i="3" s="1"/>
  <c r="AE289" i="3" s="1"/>
  <c r="AE290" i="3" s="1"/>
  <c r="AE291" i="3" s="1"/>
  <c r="AE292" i="3" s="1"/>
  <c r="AE293" i="3" s="1"/>
  <c r="AE294" i="3" s="1"/>
  <c r="AE295" i="3" s="1"/>
  <c r="AE296" i="3" s="1"/>
  <c r="AE297" i="3" s="1"/>
  <c r="AE298" i="3" s="1"/>
  <c r="AE299" i="3" s="1"/>
  <c r="AE300" i="3" s="1"/>
  <c r="AE301" i="3" s="1"/>
  <c r="AF5" i="3"/>
  <c r="AF6" i="3" s="1"/>
  <c r="AF7" i="3" s="1"/>
  <c r="AF8" i="3" s="1"/>
  <c r="AF9" i="3" s="1"/>
  <c r="AF10" i="3" s="1"/>
  <c r="AF11" i="3" s="1"/>
  <c r="AF12" i="3" s="1"/>
  <c r="AF13" i="3" s="1"/>
  <c r="AF14" i="3" s="1"/>
  <c r="AF15" i="3" s="1"/>
  <c r="AF16" i="3" s="1"/>
  <c r="AF17" i="3" s="1"/>
  <c r="AF18" i="3" s="1"/>
  <c r="AF19" i="3" s="1"/>
  <c r="AF20" i="3" s="1"/>
  <c r="AF21" i="3" s="1"/>
  <c r="AF22" i="3" s="1"/>
  <c r="AF23" i="3" s="1"/>
  <c r="AF24" i="3" s="1"/>
  <c r="AF25" i="3" s="1"/>
  <c r="AF26" i="3" s="1"/>
  <c r="AF27" i="3" s="1"/>
  <c r="AF28" i="3" s="1"/>
  <c r="AF29" i="3" s="1"/>
  <c r="AF30" i="3" s="1"/>
  <c r="AF31" i="3" s="1"/>
  <c r="AF32" i="3" s="1"/>
  <c r="AF33" i="3" s="1"/>
  <c r="AF34" i="3" s="1"/>
  <c r="AF35" i="3" s="1"/>
  <c r="AF36" i="3" s="1"/>
  <c r="AF37" i="3" s="1"/>
  <c r="AF38" i="3" s="1"/>
  <c r="AF39" i="3" s="1"/>
  <c r="AF40" i="3" s="1"/>
  <c r="AF41" i="3" s="1"/>
  <c r="AF42" i="3" s="1"/>
  <c r="AF43" i="3" s="1"/>
  <c r="AF44" i="3" s="1"/>
  <c r="AF45" i="3" s="1"/>
  <c r="AF46" i="3" s="1"/>
  <c r="AF47" i="3" s="1"/>
  <c r="AF48" i="3" s="1"/>
  <c r="AF49" i="3" s="1"/>
  <c r="AF50" i="3" s="1"/>
  <c r="AF51" i="3" s="1"/>
  <c r="AF52" i="3" s="1"/>
  <c r="AF53" i="3" s="1"/>
  <c r="AF54" i="3" s="1"/>
  <c r="AF55" i="3" s="1"/>
  <c r="AF56" i="3" s="1"/>
  <c r="AF57" i="3" s="1"/>
  <c r="AF58" i="3" s="1"/>
  <c r="AF59" i="3" s="1"/>
  <c r="AF60" i="3" s="1"/>
  <c r="AF61" i="3" s="1"/>
  <c r="AF62" i="3" s="1"/>
  <c r="AF63" i="3" s="1"/>
  <c r="AF64" i="3" s="1"/>
  <c r="AF65" i="3" s="1"/>
  <c r="AF66" i="3" s="1"/>
  <c r="AF67" i="3" s="1"/>
  <c r="AF68" i="3" s="1"/>
  <c r="AF69" i="3" s="1"/>
  <c r="AF70" i="3" s="1"/>
  <c r="AF71" i="3" s="1"/>
  <c r="AF72" i="3" s="1"/>
  <c r="AF73" i="3" s="1"/>
  <c r="AF74" i="3" s="1"/>
  <c r="AF75" i="3" s="1"/>
  <c r="AF76" i="3" s="1"/>
  <c r="AF77" i="3" s="1"/>
  <c r="AF78" i="3" s="1"/>
  <c r="AF79" i="3" s="1"/>
  <c r="AF80" i="3" s="1"/>
  <c r="AF81" i="3" s="1"/>
  <c r="AF82" i="3" s="1"/>
  <c r="AF83" i="3" s="1"/>
  <c r="AF84" i="3" s="1"/>
  <c r="AF85" i="3" s="1"/>
  <c r="AF86" i="3" s="1"/>
  <c r="AF87" i="3" s="1"/>
  <c r="AF88" i="3" s="1"/>
  <c r="AF89" i="3" s="1"/>
  <c r="AF90" i="3" s="1"/>
  <c r="AF91" i="3" s="1"/>
  <c r="AF92" i="3" s="1"/>
  <c r="AF93" i="3" s="1"/>
  <c r="AF94" i="3" s="1"/>
  <c r="AF95" i="3" s="1"/>
  <c r="AF96" i="3" s="1"/>
  <c r="AF97" i="3" s="1"/>
  <c r="AF98" i="3" s="1"/>
  <c r="AF99" i="3" s="1"/>
  <c r="AF100" i="3" s="1"/>
  <c r="AF101" i="3" s="1"/>
  <c r="AF102" i="3" s="1"/>
  <c r="AF103" i="3" s="1"/>
  <c r="AF104" i="3" s="1"/>
  <c r="AF105" i="3" s="1"/>
  <c r="AF106" i="3" s="1"/>
  <c r="AF107" i="3" s="1"/>
  <c r="AF108" i="3" s="1"/>
  <c r="AF109" i="3" s="1"/>
  <c r="AF110" i="3" s="1"/>
  <c r="AF111" i="3" s="1"/>
  <c r="AF112" i="3" s="1"/>
  <c r="AF113" i="3" s="1"/>
  <c r="AF114" i="3" s="1"/>
  <c r="AF115" i="3" s="1"/>
  <c r="AF116" i="3" s="1"/>
  <c r="AF117" i="3" s="1"/>
  <c r="AF118" i="3" s="1"/>
  <c r="AF119" i="3" s="1"/>
  <c r="AF120" i="3" s="1"/>
  <c r="AF121" i="3" s="1"/>
  <c r="AF122" i="3" s="1"/>
  <c r="AF123" i="3" s="1"/>
  <c r="AF124" i="3" s="1"/>
  <c r="AF125" i="3" s="1"/>
  <c r="AF126" i="3" s="1"/>
  <c r="AF127" i="3" s="1"/>
  <c r="AF128" i="3" s="1"/>
  <c r="AF129" i="3" s="1"/>
  <c r="AF130" i="3" s="1"/>
  <c r="AF131" i="3" s="1"/>
  <c r="AF132" i="3" s="1"/>
  <c r="AF133" i="3" s="1"/>
  <c r="AF134" i="3" s="1"/>
  <c r="AF135" i="3" s="1"/>
  <c r="AF136" i="3" s="1"/>
  <c r="AF137" i="3" s="1"/>
  <c r="AF138" i="3" s="1"/>
  <c r="AF139" i="3" s="1"/>
  <c r="AF140" i="3" s="1"/>
  <c r="AF141" i="3" s="1"/>
  <c r="AF142" i="3" s="1"/>
  <c r="AF143" i="3" s="1"/>
  <c r="AF144" i="3" s="1"/>
  <c r="AF145" i="3" s="1"/>
  <c r="AF146" i="3" s="1"/>
  <c r="AF147" i="3" s="1"/>
  <c r="AF148" i="3" s="1"/>
  <c r="AF149" i="3" s="1"/>
  <c r="AF150" i="3" s="1"/>
  <c r="AF151" i="3" s="1"/>
  <c r="AF152" i="3" s="1"/>
  <c r="AF153" i="3" s="1"/>
  <c r="AF154" i="3" s="1"/>
  <c r="AF155" i="3" s="1"/>
  <c r="AF156" i="3" s="1"/>
  <c r="AF157" i="3" s="1"/>
  <c r="AF158" i="3" s="1"/>
  <c r="AF159" i="3" s="1"/>
  <c r="AF160" i="3" s="1"/>
  <c r="AF161" i="3" s="1"/>
  <c r="AF162" i="3" s="1"/>
  <c r="AF163" i="3" s="1"/>
  <c r="AF164" i="3" s="1"/>
  <c r="AF165" i="3" s="1"/>
  <c r="AF166" i="3" s="1"/>
  <c r="AF167" i="3" s="1"/>
  <c r="AF168" i="3" s="1"/>
  <c r="AF169" i="3" s="1"/>
  <c r="AF170" i="3" s="1"/>
  <c r="AF171" i="3" s="1"/>
  <c r="AF172" i="3" s="1"/>
  <c r="AF173" i="3" s="1"/>
  <c r="AF174" i="3" s="1"/>
  <c r="AF175" i="3" s="1"/>
  <c r="AF176" i="3" s="1"/>
  <c r="AF177" i="3" s="1"/>
  <c r="AF178" i="3" s="1"/>
  <c r="AF179" i="3" s="1"/>
  <c r="AF180" i="3" s="1"/>
  <c r="AF181" i="3" s="1"/>
  <c r="AF182" i="3" s="1"/>
  <c r="AF183" i="3" s="1"/>
  <c r="AF184" i="3" s="1"/>
  <c r="AF185" i="3" s="1"/>
  <c r="AF186" i="3" s="1"/>
  <c r="AF187" i="3" s="1"/>
  <c r="AF188" i="3" s="1"/>
  <c r="AF189" i="3" s="1"/>
  <c r="AF190" i="3" s="1"/>
  <c r="AF191" i="3" s="1"/>
  <c r="AF192" i="3" s="1"/>
  <c r="AF193" i="3" s="1"/>
  <c r="AF194" i="3" s="1"/>
  <c r="AF195" i="3" s="1"/>
  <c r="AF196" i="3" s="1"/>
  <c r="AF197" i="3" s="1"/>
  <c r="AF198" i="3" s="1"/>
  <c r="AF199" i="3" s="1"/>
  <c r="AF200" i="3" s="1"/>
  <c r="AF201" i="3" s="1"/>
  <c r="AF202" i="3" s="1"/>
  <c r="AF203" i="3" s="1"/>
  <c r="AF204" i="3" s="1"/>
  <c r="AF205" i="3" s="1"/>
  <c r="AF206" i="3" s="1"/>
  <c r="AF207" i="3" s="1"/>
  <c r="AF208" i="3" s="1"/>
  <c r="AF209" i="3" s="1"/>
  <c r="AF210" i="3" s="1"/>
  <c r="AF211" i="3" s="1"/>
  <c r="AF212" i="3" s="1"/>
  <c r="AF213" i="3" s="1"/>
  <c r="AF214" i="3" s="1"/>
  <c r="AF215" i="3" s="1"/>
  <c r="AF216" i="3" s="1"/>
  <c r="AF217" i="3" s="1"/>
  <c r="AF218" i="3" s="1"/>
  <c r="AF219" i="3" s="1"/>
  <c r="AF220" i="3" s="1"/>
  <c r="AF221" i="3" s="1"/>
  <c r="AF222" i="3" s="1"/>
  <c r="AF223" i="3" s="1"/>
  <c r="AF224" i="3" s="1"/>
  <c r="AF225" i="3" s="1"/>
  <c r="AF226" i="3" s="1"/>
  <c r="AF227" i="3" s="1"/>
  <c r="AF228" i="3" s="1"/>
  <c r="AF229" i="3" s="1"/>
  <c r="AF230" i="3" s="1"/>
  <c r="AF231" i="3" s="1"/>
  <c r="AF232" i="3" s="1"/>
  <c r="AF233" i="3" s="1"/>
  <c r="AF234" i="3" s="1"/>
  <c r="AF235" i="3" s="1"/>
  <c r="AF236" i="3" s="1"/>
  <c r="AF237" i="3" s="1"/>
  <c r="AF238" i="3" s="1"/>
  <c r="AF239" i="3" s="1"/>
  <c r="AF240" i="3" s="1"/>
  <c r="AF241" i="3" s="1"/>
  <c r="AF242" i="3" s="1"/>
  <c r="AF243" i="3" s="1"/>
  <c r="AF244" i="3" s="1"/>
  <c r="AF245" i="3" s="1"/>
  <c r="AF246" i="3" s="1"/>
  <c r="AF247" i="3" s="1"/>
  <c r="AF248" i="3" s="1"/>
  <c r="AF249" i="3" s="1"/>
  <c r="AF250" i="3" s="1"/>
  <c r="AF251" i="3" s="1"/>
  <c r="AF252" i="3" s="1"/>
  <c r="AF253" i="3" s="1"/>
  <c r="AF254" i="3" s="1"/>
  <c r="AF255" i="3" s="1"/>
  <c r="AF256" i="3" s="1"/>
  <c r="AF257" i="3" s="1"/>
  <c r="AF258" i="3" s="1"/>
  <c r="AF259" i="3" s="1"/>
  <c r="AF260" i="3" s="1"/>
  <c r="AF261" i="3" s="1"/>
  <c r="AF262" i="3" s="1"/>
  <c r="AF263" i="3" s="1"/>
  <c r="AF264" i="3" s="1"/>
  <c r="AF265" i="3" s="1"/>
  <c r="AF266" i="3" s="1"/>
  <c r="AF267" i="3" s="1"/>
  <c r="AF268" i="3" s="1"/>
  <c r="AF269" i="3" s="1"/>
  <c r="AF270" i="3" s="1"/>
  <c r="AF271" i="3" s="1"/>
  <c r="AF272" i="3" s="1"/>
  <c r="AF273" i="3" s="1"/>
  <c r="AF274" i="3" s="1"/>
  <c r="AF275" i="3" s="1"/>
  <c r="AF276" i="3" s="1"/>
  <c r="AF277" i="3" s="1"/>
  <c r="AF278" i="3" s="1"/>
  <c r="AF279" i="3" s="1"/>
  <c r="AF280" i="3" s="1"/>
  <c r="AF281" i="3" s="1"/>
  <c r="AF282" i="3" s="1"/>
  <c r="AF283" i="3" s="1"/>
  <c r="AF284" i="3" s="1"/>
  <c r="AF285" i="3" s="1"/>
  <c r="AF286" i="3" s="1"/>
  <c r="AF287" i="3" s="1"/>
  <c r="AF288" i="3" s="1"/>
  <c r="AF289" i="3" s="1"/>
  <c r="AF290" i="3" s="1"/>
  <c r="AF291" i="3" s="1"/>
  <c r="AF292" i="3" s="1"/>
  <c r="AF293" i="3" s="1"/>
  <c r="AF294" i="3" s="1"/>
  <c r="AF295" i="3" s="1"/>
  <c r="AF296" i="3" s="1"/>
  <c r="AF297" i="3" s="1"/>
  <c r="AF298" i="3" s="1"/>
  <c r="AF299" i="3" s="1"/>
  <c r="AF300" i="3" s="1"/>
  <c r="AF301" i="3" s="1"/>
  <c r="AG5" i="3"/>
  <c r="AG6" i="3" s="1"/>
  <c r="AG7" i="3" s="1"/>
  <c r="AG8" i="3" s="1"/>
  <c r="AG9" i="3" s="1"/>
  <c r="AG10" i="3" s="1"/>
  <c r="AG11" i="3" s="1"/>
  <c r="AG12" i="3" s="1"/>
  <c r="AG13" i="3" s="1"/>
  <c r="AG14" i="3" s="1"/>
  <c r="AG15" i="3" s="1"/>
  <c r="AG16" i="3" s="1"/>
  <c r="AG17" i="3" s="1"/>
  <c r="AG18" i="3" s="1"/>
  <c r="AG19" i="3" s="1"/>
  <c r="AG20" i="3" s="1"/>
  <c r="AG21" i="3" s="1"/>
  <c r="AG22" i="3" s="1"/>
  <c r="AG23" i="3" s="1"/>
  <c r="AG24" i="3" s="1"/>
  <c r="AG25" i="3" s="1"/>
  <c r="AG26" i="3" s="1"/>
  <c r="AG27" i="3" s="1"/>
  <c r="AG28" i="3" s="1"/>
  <c r="AG29" i="3" s="1"/>
  <c r="AG30" i="3" s="1"/>
  <c r="AG31" i="3" s="1"/>
  <c r="AG32" i="3" s="1"/>
  <c r="AG33" i="3" s="1"/>
  <c r="AG34" i="3" s="1"/>
  <c r="AG35" i="3" s="1"/>
  <c r="AG36" i="3" s="1"/>
  <c r="AG37" i="3" s="1"/>
  <c r="AG38" i="3" s="1"/>
  <c r="AG39" i="3" s="1"/>
  <c r="AG40" i="3" s="1"/>
  <c r="AG41" i="3" s="1"/>
  <c r="AG42" i="3" s="1"/>
  <c r="AG43" i="3" s="1"/>
  <c r="AG44" i="3" s="1"/>
  <c r="AG45" i="3" s="1"/>
  <c r="AG46" i="3" s="1"/>
  <c r="AG47" i="3" s="1"/>
  <c r="AG48" i="3" s="1"/>
  <c r="AG49" i="3" s="1"/>
  <c r="AG50" i="3" s="1"/>
  <c r="AG51" i="3" s="1"/>
  <c r="AG52" i="3" s="1"/>
  <c r="AG53" i="3" s="1"/>
  <c r="AG54" i="3" s="1"/>
  <c r="AG55" i="3" s="1"/>
  <c r="AG56" i="3" s="1"/>
  <c r="AG57" i="3" s="1"/>
  <c r="AG58" i="3" s="1"/>
  <c r="AG59" i="3" s="1"/>
  <c r="AG60" i="3" s="1"/>
  <c r="AG61" i="3" s="1"/>
  <c r="AG62" i="3" s="1"/>
  <c r="AG63" i="3" s="1"/>
  <c r="AG64" i="3" s="1"/>
  <c r="AG65" i="3" s="1"/>
  <c r="AG66" i="3" s="1"/>
  <c r="AG67" i="3" s="1"/>
  <c r="AG68" i="3" s="1"/>
  <c r="AG69" i="3" s="1"/>
  <c r="AG70" i="3" s="1"/>
  <c r="AG71" i="3" s="1"/>
  <c r="AG72" i="3" s="1"/>
  <c r="AG73" i="3" s="1"/>
  <c r="AG74" i="3" s="1"/>
  <c r="AG75" i="3" s="1"/>
  <c r="AG76" i="3" s="1"/>
  <c r="AG77" i="3" s="1"/>
  <c r="AG78" i="3" s="1"/>
  <c r="AG79" i="3" s="1"/>
  <c r="AG80" i="3" s="1"/>
  <c r="AG81" i="3" s="1"/>
  <c r="AG82" i="3" s="1"/>
  <c r="AG83" i="3" s="1"/>
  <c r="AG84" i="3" s="1"/>
  <c r="AG85" i="3" s="1"/>
  <c r="AG86" i="3" s="1"/>
  <c r="AG87" i="3" s="1"/>
  <c r="AG88" i="3" s="1"/>
  <c r="AG89" i="3" s="1"/>
  <c r="AG90" i="3" s="1"/>
  <c r="AG91" i="3" s="1"/>
  <c r="AG92" i="3" s="1"/>
  <c r="AG93" i="3" s="1"/>
  <c r="AG94" i="3" s="1"/>
  <c r="AG95" i="3" s="1"/>
  <c r="AG96" i="3" s="1"/>
  <c r="AG97" i="3" s="1"/>
  <c r="AG98" i="3" s="1"/>
  <c r="AG99" i="3" s="1"/>
  <c r="AG100" i="3" s="1"/>
  <c r="AG101" i="3" s="1"/>
  <c r="AG102" i="3" s="1"/>
  <c r="AG103" i="3" s="1"/>
  <c r="AG104" i="3" s="1"/>
  <c r="AG105" i="3" s="1"/>
  <c r="AG106" i="3" s="1"/>
  <c r="AG107" i="3" s="1"/>
  <c r="AG108" i="3" s="1"/>
  <c r="AG109" i="3" s="1"/>
  <c r="AG110" i="3" s="1"/>
  <c r="AG111" i="3" s="1"/>
  <c r="AG112" i="3" s="1"/>
  <c r="AG113" i="3" s="1"/>
  <c r="AG114" i="3" s="1"/>
  <c r="AG115" i="3" s="1"/>
  <c r="AG116" i="3" s="1"/>
  <c r="AG117" i="3" s="1"/>
  <c r="AG118" i="3" s="1"/>
  <c r="AG119" i="3" s="1"/>
  <c r="AG120" i="3" s="1"/>
  <c r="AG121" i="3" s="1"/>
  <c r="AG122" i="3" s="1"/>
  <c r="AG123" i="3" s="1"/>
  <c r="AG124" i="3" s="1"/>
  <c r="AG125" i="3" s="1"/>
  <c r="AG126" i="3" s="1"/>
  <c r="AG127" i="3" s="1"/>
  <c r="AG128" i="3" s="1"/>
  <c r="AG129" i="3" s="1"/>
  <c r="AG130" i="3" s="1"/>
  <c r="AG131" i="3" s="1"/>
  <c r="AG132" i="3" s="1"/>
  <c r="AG133" i="3" s="1"/>
  <c r="AG134" i="3" s="1"/>
  <c r="AG135" i="3" s="1"/>
  <c r="AG136" i="3" s="1"/>
  <c r="AG137" i="3" s="1"/>
  <c r="AG138" i="3" s="1"/>
  <c r="AG139" i="3" s="1"/>
  <c r="AG140" i="3" s="1"/>
  <c r="AG141" i="3" s="1"/>
  <c r="AG142" i="3" s="1"/>
  <c r="AG143" i="3" s="1"/>
  <c r="AG144" i="3" s="1"/>
  <c r="AG145" i="3" s="1"/>
  <c r="AG146" i="3" s="1"/>
  <c r="AG147" i="3" s="1"/>
  <c r="AG148" i="3" s="1"/>
  <c r="AG149" i="3" s="1"/>
  <c r="AG150" i="3" s="1"/>
  <c r="AG151" i="3" s="1"/>
  <c r="AG152" i="3" s="1"/>
  <c r="AG153" i="3" s="1"/>
  <c r="AG154" i="3" s="1"/>
  <c r="AG155" i="3" s="1"/>
  <c r="AG156" i="3" s="1"/>
  <c r="AG157" i="3" s="1"/>
  <c r="AG158" i="3" s="1"/>
  <c r="AG159" i="3" s="1"/>
  <c r="AG160" i="3" s="1"/>
  <c r="AG161" i="3" s="1"/>
  <c r="AG162" i="3" s="1"/>
  <c r="AG163" i="3" s="1"/>
  <c r="AG164" i="3" s="1"/>
  <c r="AG165" i="3" s="1"/>
  <c r="AG166" i="3" s="1"/>
  <c r="AG167" i="3" s="1"/>
  <c r="AG168" i="3" s="1"/>
  <c r="AG169" i="3" s="1"/>
  <c r="AG170" i="3" s="1"/>
  <c r="AG171" i="3" s="1"/>
  <c r="AG172" i="3" s="1"/>
  <c r="AG173" i="3" s="1"/>
  <c r="AG174" i="3" s="1"/>
  <c r="AG175" i="3" s="1"/>
  <c r="AG176" i="3" s="1"/>
  <c r="AG177" i="3" s="1"/>
  <c r="AG178" i="3" s="1"/>
  <c r="AG179" i="3" s="1"/>
  <c r="AG180" i="3" s="1"/>
  <c r="AG181" i="3" s="1"/>
  <c r="AG182" i="3" s="1"/>
  <c r="AG183" i="3" s="1"/>
  <c r="AG184" i="3" s="1"/>
  <c r="AG185" i="3" s="1"/>
  <c r="AG186" i="3" s="1"/>
  <c r="AG187" i="3" s="1"/>
  <c r="AG188" i="3" s="1"/>
  <c r="AG189" i="3" s="1"/>
  <c r="AG190" i="3" s="1"/>
  <c r="AG191" i="3" s="1"/>
  <c r="AG192" i="3" s="1"/>
  <c r="AG193" i="3" s="1"/>
  <c r="AG194" i="3" s="1"/>
  <c r="AG195" i="3" s="1"/>
  <c r="AG196" i="3" s="1"/>
  <c r="AG197" i="3" s="1"/>
  <c r="AG198" i="3" s="1"/>
  <c r="AG199" i="3" s="1"/>
  <c r="AG200" i="3" s="1"/>
  <c r="AG201" i="3" s="1"/>
  <c r="AG202" i="3" s="1"/>
  <c r="AG203" i="3" s="1"/>
  <c r="AG204" i="3" s="1"/>
  <c r="AG205" i="3" s="1"/>
  <c r="AG206" i="3" s="1"/>
  <c r="AG207" i="3" s="1"/>
  <c r="AG208" i="3" s="1"/>
  <c r="AG209" i="3" s="1"/>
  <c r="AG210" i="3" s="1"/>
  <c r="AG211" i="3" s="1"/>
  <c r="AG212" i="3" s="1"/>
  <c r="AG213" i="3" s="1"/>
  <c r="AG214" i="3" s="1"/>
  <c r="AG215" i="3" s="1"/>
  <c r="AG216" i="3" s="1"/>
  <c r="AG217" i="3" s="1"/>
  <c r="AG218" i="3" s="1"/>
  <c r="AG219" i="3" s="1"/>
  <c r="AG220" i="3" s="1"/>
  <c r="AG221" i="3" s="1"/>
  <c r="AG222" i="3" s="1"/>
  <c r="AG223" i="3" s="1"/>
  <c r="AG224" i="3" s="1"/>
  <c r="AG225" i="3" s="1"/>
  <c r="AG226" i="3" s="1"/>
  <c r="AG227" i="3" s="1"/>
  <c r="AG228" i="3" s="1"/>
  <c r="AG229" i="3" s="1"/>
  <c r="AG230" i="3" s="1"/>
  <c r="AG231" i="3" s="1"/>
  <c r="AG232" i="3" s="1"/>
  <c r="AG233" i="3" s="1"/>
  <c r="AG234" i="3" s="1"/>
  <c r="AG235" i="3" s="1"/>
  <c r="AG236" i="3" s="1"/>
  <c r="AG237" i="3" s="1"/>
  <c r="AG238" i="3" s="1"/>
  <c r="AG239" i="3" s="1"/>
  <c r="AG240" i="3" s="1"/>
  <c r="AG241" i="3" s="1"/>
  <c r="AG242" i="3" s="1"/>
  <c r="AG243" i="3" s="1"/>
  <c r="AG244" i="3" s="1"/>
  <c r="AG245" i="3" s="1"/>
  <c r="AG246" i="3" s="1"/>
  <c r="AG247" i="3" s="1"/>
  <c r="AG248" i="3" s="1"/>
  <c r="AG249" i="3" s="1"/>
  <c r="AG250" i="3" s="1"/>
  <c r="AG251" i="3" s="1"/>
  <c r="AG252" i="3" s="1"/>
  <c r="AG253" i="3" s="1"/>
  <c r="AG254" i="3" s="1"/>
  <c r="AG255" i="3" s="1"/>
  <c r="AG256" i="3" s="1"/>
  <c r="AG257" i="3" s="1"/>
  <c r="AG258" i="3" s="1"/>
  <c r="AG259" i="3" s="1"/>
  <c r="AG260" i="3" s="1"/>
  <c r="AG261" i="3" s="1"/>
  <c r="AG262" i="3" s="1"/>
  <c r="AG263" i="3" s="1"/>
  <c r="AG264" i="3" s="1"/>
  <c r="AG265" i="3" s="1"/>
  <c r="AG266" i="3" s="1"/>
  <c r="AG267" i="3" s="1"/>
  <c r="AG268" i="3" s="1"/>
  <c r="AG269" i="3" s="1"/>
  <c r="AG270" i="3" s="1"/>
  <c r="AG271" i="3" s="1"/>
  <c r="AG272" i="3" s="1"/>
  <c r="AG273" i="3" s="1"/>
  <c r="AG274" i="3" s="1"/>
  <c r="AG275" i="3" s="1"/>
  <c r="AG276" i="3" s="1"/>
  <c r="AG277" i="3" s="1"/>
  <c r="AG278" i="3" s="1"/>
  <c r="AG279" i="3" s="1"/>
  <c r="AG280" i="3" s="1"/>
  <c r="AG281" i="3" s="1"/>
  <c r="AG282" i="3" s="1"/>
  <c r="AG283" i="3" s="1"/>
  <c r="AG284" i="3" s="1"/>
  <c r="AG285" i="3" s="1"/>
  <c r="AG286" i="3" s="1"/>
  <c r="AG287" i="3" s="1"/>
  <c r="AG288" i="3" s="1"/>
  <c r="AG289" i="3" s="1"/>
  <c r="AG290" i="3" s="1"/>
  <c r="AG291" i="3" s="1"/>
  <c r="AG292" i="3" s="1"/>
  <c r="AG293" i="3" s="1"/>
  <c r="AG294" i="3" s="1"/>
  <c r="AG295" i="3" s="1"/>
  <c r="AG296" i="3" s="1"/>
  <c r="AG297" i="3" s="1"/>
  <c r="AG298" i="3" s="1"/>
  <c r="AG299" i="3" s="1"/>
  <c r="AG300" i="3" s="1"/>
  <c r="AG301" i="3" s="1"/>
  <c r="R25" i="4"/>
  <c r="L25" i="4"/>
  <c r="W25" i="4"/>
  <c r="O25" i="4"/>
  <c r="V25" i="4"/>
  <c r="U25" i="4"/>
  <c r="M25" i="4"/>
  <c r="T25" i="4"/>
  <c r="S25" i="4"/>
  <c r="Q25" i="4"/>
  <c r="P25" i="4"/>
  <c r="N25" i="4"/>
  <c r="T5" i="4"/>
  <c r="U5" i="4"/>
  <c r="T6" i="4"/>
  <c r="U6" i="4"/>
  <c r="U10" i="4"/>
  <c r="O10" i="4"/>
  <c r="U7" i="4"/>
  <c r="P9" i="4"/>
  <c r="U4" i="4"/>
  <c r="S10" i="4"/>
  <c r="S9" i="4"/>
  <c r="V10" i="4"/>
  <c r="V9" i="4"/>
  <c r="T10" i="4"/>
  <c r="T7" i="4"/>
  <c r="T11" i="4"/>
  <c r="O9" i="4"/>
  <c r="P10" i="4"/>
  <c r="U11" i="4"/>
  <c r="Q10" i="4"/>
  <c r="U8" i="4"/>
  <c r="T9" i="4"/>
  <c r="U9" i="4"/>
  <c r="R9" i="4"/>
  <c r="T4" i="4"/>
  <c r="T8" i="4"/>
  <c r="Q9" i="4"/>
  <c r="R10" i="4"/>
  <c r="M40" i="4"/>
  <c r="W40" i="4"/>
  <c r="V40" i="4"/>
  <c r="T40" i="4"/>
  <c r="S40" i="4"/>
  <c r="R40" i="4"/>
  <c r="O40" i="4"/>
  <c r="N40" i="4"/>
  <c r="D11" i="8"/>
  <c r="AQ155" i="3" l="1"/>
  <c r="AI156" i="3"/>
  <c r="AA156" i="3"/>
  <c r="AK155" i="3"/>
  <c r="AP155" i="3" s="1"/>
  <c r="S4" i="4"/>
  <c r="AQ156" i="3" l="1"/>
  <c r="AI157" i="3"/>
  <c r="AK156" i="3"/>
  <c r="AP156" i="3" s="1"/>
  <c r="AA157" i="3"/>
  <c r="H4" i="4"/>
  <c r="P10" i="3"/>
  <c r="AQ157" i="3" l="1"/>
  <c r="AI158" i="3"/>
  <c r="AK157" i="3"/>
  <c r="AP157" i="3" s="1"/>
  <c r="AA158" i="3"/>
  <c r="Q10" i="3"/>
  <c r="R10" i="3" s="1"/>
  <c r="S10" i="3" s="1"/>
  <c r="AQ158" i="3" l="1"/>
  <c r="AI159" i="3"/>
  <c r="AK158" i="3"/>
  <c r="AP158" i="3" s="1"/>
  <c r="AA159" i="3"/>
  <c r="T10" i="3"/>
  <c r="S5" i="3"/>
  <c r="S8" i="3" s="1"/>
  <c r="S6" i="3"/>
  <c r="S9" i="3" s="1"/>
  <c r="P5" i="3"/>
  <c r="Q5" i="3"/>
  <c r="R5" i="3"/>
  <c r="V4" i="4"/>
  <c r="P11" i="4"/>
  <c r="O11" i="4"/>
  <c r="O5" i="4"/>
  <c r="V11" i="4"/>
  <c r="R7" i="4"/>
  <c r="O4" i="4"/>
  <c r="S11" i="4"/>
  <c r="V6" i="4"/>
  <c r="P8" i="4"/>
  <c r="P4" i="4"/>
  <c r="R11" i="4"/>
  <c r="S6" i="4"/>
  <c r="R8" i="4"/>
  <c r="O7" i="4"/>
  <c r="V7" i="4"/>
  <c r="R5" i="4"/>
  <c r="O6" i="4"/>
  <c r="Q4" i="4"/>
  <c r="R4" i="4"/>
  <c r="Q8" i="4"/>
  <c r="O8" i="4"/>
  <c r="P5" i="4"/>
  <c r="V8" i="4"/>
  <c r="R6" i="4"/>
  <c r="Q7" i="4"/>
  <c r="P6" i="4"/>
  <c r="S8" i="4"/>
  <c r="V5" i="4"/>
  <c r="O6" i="3"/>
  <c r="Q6" i="4"/>
  <c r="S5" i="4"/>
  <c r="Q11" i="4"/>
  <c r="Q5" i="4"/>
  <c r="S7" i="4"/>
  <c r="P7" i="4"/>
  <c r="P6" i="3"/>
  <c r="Q6" i="3"/>
  <c r="A78" i="3"/>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I160" i="3" l="1"/>
  <c r="AQ159" i="3"/>
  <c r="AA160" i="3"/>
  <c r="AK159" i="3"/>
  <c r="AP159" i="3" s="1"/>
  <c r="L27" i="4"/>
  <c r="L28" i="4" s="1"/>
  <c r="U10" i="3"/>
  <c r="T6" i="3"/>
  <c r="T9" i="3" s="1"/>
  <c r="T5" i="3"/>
  <c r="T8" i="3" s="1"/>
  <c r="AI161" i="3" l="1"/>
  <c r="AQ160" i="3"/>
  <c r="AK160" i="3"/>
  <c r="AP160" i="3" s="1"/>
  <c r="AA161" i="3"/>
  <c r="V10" i="3"/>
  <c r="U5" i="3"/>
  <c r="U8" i="3" s="1"/>
  <c r="U6" i="3"/>
  <c r="U9" i="3" s="1"/>
  <c r="AQ161" i="3" l="1"/>
  <c r="AI162" i="3"/>
  <c r="AA162" i="3"/>
  <c r="AK161" i="3"/>
  <c r="AP161" i="3" s="1"/>
  <c r="W10" i="3"/>
  <c r="V6" i="3"/>
  <c r="V9" i="3" s="1"/>
  <c r="V5" i="3"/>
  <c r="V8" i="3" s="1"/>
  <c r="R6" i="3"/>
  <c r="M24" i="4"/>
  <c r="N24" i="4" s="1"/>
  <c r="O24" i="4" s="1"/>
  <c r="P24" i="4" s="1"/>
  <c r="Q24" i="4" s="1"/>
  <c r="R24" i="4" s="1"/>
  <c r="S24" i="4" s="1"/>
  <c r="T24" i="4" s="1"/>
  <c r="U24" i="4" s="1"/>
  <c r="V24" i="4" s="1"/>
  <c r="W24" i="4" s="1"/>
  <c r="L40" i="4"/>
  <c r="AI163" i="3" l="1"/>
  <c r="AQ162" i="3"/>
  <c r="AA163" i="3"/>
  <c r="AK162" i="3"/>
  <c r="AP162" i="3" s="1"/>
  <c r="W6" i="3"/>
  <c r="W9" i="3" s="1"/>
  <c r="W5" i="3"/>
  <c r="W8" i="3" s="1"/>
  <c r="AI164" i="3" l="1"/>
  <c r="AQ163" i="3"/>
  <c r="AA164" i="3"/>
  <c r="AK163" i="3"/>
  <c r="AP163" i="3" s="1"/>
  <c r="N11" i="4"/>
  <c r="X11" i="4" s="1"/>
  <c r="AI165" i="3" l="1"/>
  <c r="AQ164" i="3"/>
  <c r="AK164" i="3"/>
  <c r="AP164" i="3" s="1"/>
  <c r="AA165" i="3"/>
  <c r="K34" i="4"/>
  <c r="K35" i="4"/>
  <c r="AC8" i="4"/>
  <c r="AB7" i="4"/>
  <c r="N7" i="4"/>
  <c r="R3" i="4" s="1"/>
  <c r="N8" i="4"/>
  <c r="S3" i="4" s="1"/>
  <c r="H7" i="4"/>
  <c r="H8" i="4"/>
  <c r="AQ165" i="3" l="1"/>
  <c r="AI166" i="3"/>
  <c r="AA166" i="3"/>
  <c r="AK165" i="3"/>
  <c r="AP165" i="3" s="1"/>
  <c r="AB3" i="4"/>
  <c r="AC3" i="4"/>
  <c r="X7" i="4"/>
  <c r="X8" i="4"/>
  <c r="P9" i="3"/>
  <c r="Q9" i="3"/>
  <c r="R9" i="3"/>
  <c r="O9" i="3"/>
  <c r="P8" i="3"/>
  <c r="Q8" i="3"/>
  <c r="R8" i="3"/>
  <c r="O8" i="3"/>
  <c r="AQ166" i="3" l="1"/>
  <c r="AI167" i="3"/>
  <c r="AA167" i="3"/>
  <c r="AK166" i="3"/>
  <c r="AP166" i="3" s="1"/>
  <c r="AI4" i="3"/>
  <c r="AD4" i="3"/>
  <c r="AC4" i="3"/>
  <c r="AB4" i="3"/>
  <c r="AA4" i="3"/>
  <c r="AI168" i="3" l="1"/>
  <c r="AI169" i="3" s="1"/>
  <c r="AI170" i="3" s="1"/>
  <c r="AI171" i="3" s="1"/>
  <c r="AI172" i="3" s="1"/>
  <c r="AI173" i="3" s="1"/>
  <c r="AI174" i="3" s="1"/>
  <c r="AI175" i="3" s="1"/>
  <c r="AI176" i="3" s="1"/>
  <c r="AI177" i="3" s="1"/>
  <c r="AI178" i="3" s="1"/>
  <c r="AI179" i="3" s="1"/>
  <c r="AI180" i="3" s="1"/>
  <c r="AI181" i="3" s="1"/>
  <c r="AI182" i="3" s="1"/>
  <c r="AI183" i="3" s="1"/>
  <c r="AI184" i="3" s="1"/>
  <c r="AI185" i="3" s="1"/>
  <c r="AI186" i="3" s="1"/>
  <c r="AI187" i="3" s="1"/>
  <c r="AI188" i="3" s="1"/>
  <c r="AI189" i="3" s="1"/>
  <c r="AI190" i="3" s="1"/>
  <c r="AI191" i="3" s="1"/>
  <c r="AI192" i="3" s="1"/>
  <c r="AI193" i="3" s="1"/>
  <c r="AI194" i="3" s="1"/>
  <c r="AI195" i="3" s="1"/>
  <c r="AI196" i="3" s="1"/>
  <c r="AI197" i="3" s="1"/>
  <c r="AI198" i="3" s="1"/>
  <c r="AI199" i="3" s="1"/>
  <c r="AI200" i="3" s="1"/>
  <c r="AI201" i="3" s="1"/>
  <c r="AI202" i="3" s="1"/>
  <c r="AI203" i="3" s="1"/>
  <c r="AI204" i="3" s="1"/>
  <c r="AI205" i="3" s="1"/>
  <c r="AI206" i="3" s="1"/>
  <c r="AI207" i="3" s="1"/>
  <c r="AI208" i="3" s="1"/>
  <c r="AI209" i="3" s="1"/>
  <c r="AI210" i="3" s="1"/>
  <c r="AI211" i="3" s="1"/>
  <c r="AI212" i="3" s="1"/>
  <c r="AI213" i="3" s="1"/>
  <c r="AI214" i="3" s="1"/>
  <c r="AI215" i="3" s="1"/>
  <c r="AI216" i="3" s="1"/>
  <c r="AI217" i="3" s="1"/>
  <c r="AI218" i="3" s="1"/>
  <c r="AI219" i="3" s="1"/>
  <c r="AI220" i="3" s="1"/>
  <c r="AI221" i="3" s="1"/>
  <c r="AI222" i="3" s="1"/>
  <c r="AI223" i="3" s="1"/>
  <c r="AI224" i="3" s="1"/>
  <c r="AI225" i="3" s="1"/>
  <c r="AI226" i="3" s="1"/>
  <c r="AI227" i="3" s="1"/>
  <c r="AI228" i="3" s="1"/>
  <c r="AI229" i="3" s="1"/>
  <c r="AI230" i="3" s="1"/>
  <c r="AI231" i="3" s="1"/>
  <c r="AI232" i="3" s="1"/>
  <c r="AI233" i="3" s="1"/>
  <c r="AI234" i="3" s="1"/>
  <c r="AI235" i="3" s="1"/>
  <c r="AI236" i="3" s="1"/>
  <c r="AI237" i="3" s="1"/>
  <c r="AI238" i="3" s="1"/>
  <c r="AI239" i="3" s="1"/>
  <c r="AI240" i="3" s="1"/>
  <c r="AI241" i="3" s="1"/>
  <c r="AI242" i="3" s="1"/>
  <c r="AI243" i="3" s="1"/>
  <c r="AI244" i="3" s="1"/>
  <c r="AI245" i="3" s="1"/>
  <c r="AI246" i="3" s="1"/>
  <c r="AI247" i="3" s="1"/>
  <c r="AI248" i="3" s="1"/>
  <c r="AI249" i="3" s="1"/>
  <c r="AI250" i="3" s="1"/>
  <c r="AI251" i="3" s="1"/>
  <c r="AI252" i="3" s="1"/>
  <c r="AI253" i="3" s="1"/>
  <c r="AI254" i="3" s="1"/>
  <c r="AI255" i="3" s="1"/>
  <c r="AI256" i="3" s="1"/>
  <c r="AI257" i="3" s="1"/>
  <c r="AI258" i="3" s="1"/>
  <c r="AI259" i="3" s="1"/>
  <c r="AI260" i="3" s="1"/>
  <c r="AI261" i="3" s="1"/>
  <c r="AI262" i="3" s="1"/>
  <c r="AI263" i="3" s="1"/>
  <c r="AI264" i="3" s="1"/>
  <c r="AI265" i="3" s="1"/>
  <c r="AI266" i="3" s="1"/>
  <c r="AI267" i="3" s="1"/>
  <c r="AI268" i="3" s="1"/>
  <c r="AI269" i="3" s="1"/>
  <c r="AI270" i="3" s="1"/>
  <c r="AI271" i="3" s="1"/>
  <c r="AI272" i="3" s="1"/>
  <c r="AI273" i="3" s="1"/>
  <c r="AI274" i="3" s="1"/>
  <c r="AI275" i="3" s="1"/>
  <c r="AI276" i="3" s="1"/>
  <c r="AI277" i="3" s="1"/>
  <c r="AI278" i="3" s="1"/>
  <c r="AI279" i="3" s="1"/>
  <c r="AI280" i="3" s="1"/>
  <c r="AI281" i="3" s="1"/>
  <c r="AI282" i="3" s="1"/>
  <c r="AI283" i="3" s="1"/>
  <c r="AI284" i="3" s="1"/>
  <c r="AI285" i="3" s="1"/>
  <c r="AI286" i="3" s="1"/>
  <c r="AI287" i="3" s="1"/>
  <c r="AI288" i="3" s="1"/>
  <c r="AI289" i="3" s="1"/>
  <c r="AI290" i="3" s="1"/>
  <c r="AI291" i="3" s="1"/>
  <c r="AI292" i="3" s="1"/>
  <c r="AI293" i="3" s="1"/>
  <c r="AI294" i="3" s="1"/>
  <c r="AI295" i="3" s="1"/>
  <c r="AI296" i="3" s="1"/>
  <c r="AI297" i="3" s="1"/>
  <c r="AI298" i="3" s="1"/>
  <c r="AI299" i="3" s="1"/>
  <c r="AI300" i="3" s="1"/>
  <c r="AI301" i="3" s="1"/>
  <c r="AQ167" i="3"/>
  <c r="AK167" i="3"/>
  <c r="AP167" i="3" s="1"/>
  <c r="AA168" i="3"/>
  <c r="Q3" i="4"/>
  <c r="P3" i="4"/>
  <c r="O3" i="4"/>
  <c r="N5" i="4"/>
  <c r="Z3" i="4" s="1"/>
  <c r="N6" i="4"/>
  <c r="AA3" i="4" s="1"/>
  <c r="N4" i="4"/>
  <c r="Y3" i="4" s="1"/>
  <c r="K32" i="4"/>
  <c r="K33" i="4"/>
  <c r="K31" i="4"/>
  <c r="AK168" i="3" l="1"/>
  <c r="AA169" i="3"/>
  <c r="X5" i="4"/>
  <c r="X6" i="4"/>
  <c r="X4" i="4"/>
  <c r="AK169" i="3" l="1"/>
  <c r="AA170" i="3"/>
  <c r="AA6" i="4"/>
  <c r="Z5" i="4"/>
  <c r="Y4" i="4"/>
  <c r="H5" i="4"/>
  <c r="H6" i="4"/>
  <c r="AK170" i="3" l="1"/>
  <c r="AA171" i="3"/>
  <c r="L30" i="4"/>
  <c r="S27" i="4"/>
  <c r="S28" i="4" s="1"/>
  <c r="S30" i="4" s="1"/>
  <c r="W27" i="4"/>
  <c r="W28" i="4" s="1"/>
  <c r="W30" i="4" s="1"/>
  <c r="R27" i="4"/>
  <c r="R28" i="4" s="1"/>
  <c r="R30" i="4" s="1"/>
  <c r="O27" i="4"/>
  <c r="O28" i="4" s="1"/>
  <c r="O30" i="4" s="1"/>
  <c r="P27" i="4"/>
  <c r="P28" i="4" s="1"/>
  <c r="P30" i="4" s="1"/>
  <c r="Q27" i="4"/>
  <c r="Q28" i="4" s="1"/>
  <c r="Q30" i="4" s="1"/>
  <c r="V27" i="4"/>
  <c r="V28" i="4" s="1"/>
  <c r="V30" i="4" s="1"/>
  <c r="N27" i="4"/>
  <c r="N28" i="4" s="1"/>
  <c r="N30" i="4" s="1"/>
  <c r="U27" i="4"/>
  <c r="U28" i="4" s="1"/>
  <c r="U30" i="4" s="1"/>
  <c r="T27" i="4"/>
  <c r="T28" i="4" s="1"/>
  <c r="T30" i="4" s="1"/>
  <c r="M27" i="4"/>
  <c r="M28" i="4" s="1"/>
  <c r="M30" i="4" s="1"/>
  <c r="AK171" i="3" l="1"/>
  <c r="AA172" i="3"/>
  <c r="V29" i="4"/>
  <c r="Q29" i="4"/>
  <c r="P29" i="4"/>
  <c r="O29" i="4"/>
  <c r="M29" i="4"/>
  <c r="R29" i="4"/>
  <c r="T29" i="4"/>
  <c r="W29" i="4"/>
  <c r="U29" i="4"/>
  <c r="S29" i="4"/>
  <c r="N29" i="4"/>
  <c r="L29" i="4"/>
  <c r="AA173" i="3" l="1"/>
  <c r="AK172" i="3"/>
  <c r="AK173" i="3" l="1"/>
  <c r="AA174" i="3"/>
  <c r="AA175" i="3" l="1"/>
  <c r="AK174" i="3"/>
  <c r="AK175" i="3" l="1"/>
  <c r="AA176" i="3"/>
  <c r="AK176" i="3" l="1"/>
  <c r="AA177" i="3"/>
  <c r="AA178" i="3" l="1"/>
  <c r="AK177" i="3"/>
  <c r="AK178" i="3" l="1"/>
  <c r="AA179" i="3"/>
  <c r="AK179" i="3" l="1"/>
  <c r="AA180" i="3"/>
  <c r="AK180" i="3" l="1"/>
  <c r="AA181" i="3"/>
  <c r="AA182" i="3" l="1"/>
  <c r="AK181" i="3"/>
  <c r="AA183" i="3" l="1"/>
  <c r="AK182" i="3"/>
  <c r="AA184" i="3" l="1"/>
  <c r="AK183" i="3"/>
  <c r="AA185" i="3" l="1"/>
  <c r="AK184" i="3"/>
  <c r="AA186" i="3" l="1"/>
  <c r="AK185" i="3"/>
  <c r="AK186" i="3" l="1"/>
  <c r="AA187" i="3"/>
  <c r="AA188" i="3" s="1"/>
  <c r="AA189" i="3" s="1"/>
  <c r="AA190" i="3" s="1"/>
  <c r="AA191" i="3" s="1"/>
  <c r="AA192" i="3" s="1"/>
  <c r="AA193" i="3" s="1"/>
  <c r="AA194" i="3" s="1"/>
  <c r="AA195" i="3" s="1"/>
  <c r="AA196" i="3" s="1"/>
  <c r="AA197" i="3" s="1"/>
  <c r="AA198" i="3" s="1"/>
  <c r="AA199" i="3" s="1"/>
  <c r="AA200" i="3" s="1"/>
  <c r="AA201" i="3" s="1"/>
  <c r="AA202" i="3" s="1"/>
  <c r="AA203" i="3" s="1"/>
  <c r="AA204" i="3" s="1"/>
  <c r="AA205" i="3" s="1"/>
  <c r="AA206" i="3" s="1"/>
  <c r="AA207" i="3" s="1"/>
  <c r="AA208" i="3" s="1"/>
  <c r="AA209" i="3" s="1"/>
  <c r="AA210" i="3" s="1"/>
  <c r="AA211" i="3" s="1"/>
  <c r="AA212" i="3" s="1"/>
  <c r="AA213" i="3" s="1"/>
  <c r="AA214" i="3" s="1"/>
  <c r="AA215" i="3" s="1"/>
  <c r="AA216" i="3" s="1"/>
  <c r="AA217" i="3" s="1"/>
  <c r="AA218" i="3" s="1"/>
  <c r="AA219" i="3" s="1"/>
  <c r="AA220" i="3" s="1"/>
  <c r="AA221" i="3" s="1"/>
  <c r="AA222" i="3" s="1"/>
  <c r="AA223" i="3" s="1"/>
  <c r="AA224" i="3" s="1"/>
  <c r="AA225" i="3" s="1"/>
  <c r="AA226" i="3" s="1"/>
  <c r="AA227" i="3" s="1"/>
  <c r="AA228" i="3" s="1"/>
  <c r="AA229" i="3" s="1"/>
  <c r="AA230" i="3" s="1"/>
  <c r="AA231" i="3" s="1"/>
  <c r="AA232" i="3" s="1"/>
  <c r="AA233" i="3" s="1"/>
  <c r="AA234" i="3" s="1"/>
  <c r="AA235" i="3" s="1"/>
  <c r="AA236" i="3" s="1"/>
  <c r="AA237" i="3" s="1"/>
  <c r="AA238" i="3" s="1"/>
  <c r="AA239" i="3" s="1"/>
  <c r="AA240" i="3" s="1"/>
  <c r="AA241" i="3" s="1"/>
  <c r="AA242" i="3" s="1"/>
  <c r="AA243" i="3" s="1"/>
  <c r="AA244" i="3" s="1"/>
  <c r="AA245" i="3" s="1"/>
  <c r="AA246" i="3" s="1"/>
  <c r="AA247" i="3" s="1"/>
  <c r="AA248" i="3" s="1"/>
  <c r="AA249" i="3" s="1"/>
  <c r="AA250" i="3" s="1"/>
  <c r="AA251" i="3" s="1"/>
  <c r="AA252" i="3" s="1"/>
  <c r="AA253" i="3" s="1"/>
  <c r="AA254" i="3" s="1"/>
  <c r="AA255" i="3" s="1"/>
  <c r="AA256" i="3" s="1"/>
  <c r="AA257" i="3" s="1"/>
  <c r="AA258" i="3" s="1"/>
  <c r="AA259" i="3" s="1"/>
  <c r="AA260" i="3" s="1"/>
  <c r="AA261" i="3" s="1"/>
  <c r="AA262" i="3" s="1"/>
  <c r="AA263" i="3" s="1"/>
  <c r="AA264" i="3" s="1"/>
  <c r="AA265" i="3" s="1"/>
  <c r="AA266" i="3" s="1"/>
  <c r="AA267" i="3" s="1"/>
  <c r="AA268" i="3" s="1"/>
  <c r="AA269" i="3" s="1"/>
  <c r="AA270" i="3" s="1"/>
  <c r="AA271" i="3" s="1"/>
  <c r="AA272" i="3" s="1"/>
  <c r="AA273" i="3" s="1"/>
  <c r="AA274" i="3" s="1"/>
  <c r="AA275" i="3" s="1"/>
  <c r="AA276" i="3" s="1"/>
  <c r="AA277" i="3" s="1"/>
  <c r="AA278" i="3" s="1"/>
  <c r="AA279" i="3" s="1"/>
  <c r="AA280" i="3" s="1"/>
  <c r="AA281" i="3" s="1"/>
  <c r="AA282" i="3" s="1"/>
  <c r="AA283" i="3" s="1"/>
  <c r="AA284" i="3" s="1"/>
  <c r="AA285" i="3" s="1"/>
  <c r="AA286" i="3" s="1"/>
  <c r="AA287" i="3" s="1"/>
  <c r="AA288" i="3" s="1"/>
  <c r="AA289" i="3" s="1"/>
  <c r="AA290" i="3" s="1"/>
  <c r="AA291" i="3" s="1"/>
  <c r="AA292" i="3" s="1"/>
  <c r="AA293" i="3" s="1"/>
  <c r="AA294" i="3" s="1"/>
  <c r="AA295" i="3" s="1"/>
  <c r="AA296" i="3" s="1"/>
  <c r="AA297" i="3" s="1"/>
  <c r="AA298" i="3" s="1"/>
  <c r="AA299" i="3" s="1"/>
  <c r="AA300" i="3" s="1"/>
  <c r="AA30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 NAson</author>
  </authors>
  <commentList>
    <comment ref="F3" authorId="0" shapeId="0" xr:uid="{00000000-0006-0000-0100-000001000000}">
      <text>
        <r>
          <rPr>
            <b/>
            <sz val="9"/>
            <color indexed="81"/>
            <rFont val="Tahoma"/>
            <family val="2"/>
          </rPr>
          <t>after taxes and fees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author>
    <author>Igor Geninson</author>
  </authors>
  <commentList>
    <comment ref="B3" authorId="0" shapeId="0" xr:uid="{1BC6FD62-E50F-44CA-995D-6CAABE7A1777}">
      <text>
        <r>
          <rPr>
            <b/>
            <sz val="9"/>
            <color rgb="FF000000"/>
            <rFont val="Tahoma"/>
            <family val="2"/>
          </rPr>
          <t>All returns are before fees. Some returns are before taxes. Refer to indices or Cost and Fees Worksheet.</t>
        </r>
        <r>
          <rPr>
            <sz val="9"/>
            <color rgb="FF000000"/>
            <rFont val="Tahoma"/>
            <family val="2"/>
          </rPr>
          <t xml:space="preserve">
</t>
        </r>
      </text>
    </comment>
    <comment ref="C4" authorId="1" shapeId="0" xr:uid="{86FBEA37-F344-46A0-95BA-8E97E88AED26}">
      <text>
        <r>
          <rPr>
            <b/>
            <sz val="9"/>
            <color indexed="81"/>
            <rFont val="Tahoma"/>
            <family val="2"/>
          </rPr>
          <t>S&amp;P/ASX 300 Total Return Index</t>
        </r>
        <r>
          <rPr>
            <sz val="9"/>
            <color indexed="81"/>
            <rFont val="Tahoma"/>
            <family val="2"/>
          </rPr>
          <t xml:space="preserve">
</t>
        </r>
      </text>
    </comment>
    <comment ref="D4" authorId="1" shapeId="0" xr:uid="{E2AA5B0A-B396-4AA4-9845-9A80B1DEB5AD}">
      <text>
        <r>
          <rPr>
            <b/>
            <sz val="9"/>
            <color indexed="81"/>
            <rFont val="Tahoma"/>
            <family val="2"/>
          </rPr>
          <t>MSCI All Country World  Ex-Australia with Special Tax (100% hedged to AUD)</t>
        </r>
        <r>
          <rPr>
            <sz val="9"/>
            <color indexed="81"/>
            <rFont val="Tahoma"/>
            <family val="2"/>
          </rPr>
          <t xml:space="preserve">
This asset class is not avaialbe for Abercrombe super</t>
        </r>
      </text>
    </comment>
    <comment ref="E4" authorId="1" shapeId="0" xr:uid="{1F703E76-CFF9-46E0-A76F-F673B56BAE8D}">
      <text>
        <r>
          <rPr>
            <b/>
            <sz val="9"/>
            <color rgb="FF000000"/>
            <rFont val="Tahoma"/>
            <family val="2"/>
          </rPr>
          <t>MSCI All Country World  Ex-Australia with Special Tax (unhedged to AUD)</t>
        </r>
      </text>
    </comment>
    <comment ref="F4" authorId="1" shapeId="0" xr:uid="{1D1779CD-A4E1-4CD9-848A-92905633D000}">
      <text>
        <r>
          <rPr>
            <b/>
            <sz val="9"/>
            <color rgb="FF000000"/>
            <rFont val="Tahoma"/>
            <family val="2"/>
          </rPr>
          <t>S&amp;P/ASX 300 A-REIT Index</t>
        </r>
        <r>
          <rPr>
            <sz val="9"/>
            <color rgb="FF000000"/>
            <rFont val="Tahoma"/>
            <family val="2"/>
          </rPr>
          <t xml:space="preserve">
</t>
        </r>
      </text>
    </comment>
    <comment ref="G4" authorId="1" shapeId="0" xr:uid="{5EF0F3AD-AD30-42B9-8154-909529D522DD}">
      <text>
        <r>
          <rPr>
            <b/>
            <sz val="9"/>
            <color indexed="81"/>
            <rFont val="Tahoma"/>
            <family val="2"/>
          </rPr>
          <t xml:space="preserve">FTSE RPRA Naeit Developed ex Aus Rental 100% Hedged to AUD Net Tax (Super) Index
</t>
        </r>
      </text>
    </comment>
    <comment ref="H4" authorId="1" shapeId="0" xr:uid="{A4E2BF0B-9FA7-4D8E-B9F4-8A1A082DB812}">
      <text>
        <r>
          <rPr>
            <b/>
            <sz val="9"/>
            <color indexed="81"/>
            <rFont val="Tahoma"/>
            <family val="2"/>
          </rPr>
          <t>FTSE Developed Core Infrastructure 100% Hedged to AUD Net Tax (Super) Index</t>
        </r>
        <r>
          <rPr>
            <sz val="9"/>
            <color indexed="81"/>
            <rFont val="Tahoma"/>
            <family val="2"/>
          </rPr>
          <t xml:space="preserve">
</t>
        </r>
      </text>
    </comment>
    <comment ref="I4" authorId="1" shapeId="0" xr:uid="{1476B325-FA5C-4DE2-9427-B207A472CC1E}">
      <text>
        <r>
          <rPr>
            <b/>
            <sz val="9"/>
            <color rgb="FF000000"/>
            <rFont val="Tahoma"/>
            <family val="2"/>
          </rPr>
          <t>Bloomberg Ausbond Composite 0+ Index</t>
        </r>
      </text>
    </comment>
    <comment ref="J4" authorId="1" shapeId="0" xr:uid="{AF18DEB5-2526-4527-8A6B-85E6B1BFA365}">
      <text>
        <r>
          <rPr>
            <b/>
            <sz val="9"/>
            <color indexed="81"/>
            <rFont val="Tahoma"/>
            <family val="2"/>
          </rPr>
          <t>Bloomberg Barclays Global Aggregate Index (hedged to AUD)</t>
        </r>
      </text>
    </comment>
    <comment ref="K4" authorId="1" shapeId="0" xr:uid="{25A7B3B9-43C9-469E-9A53-C529193A5615}">
      <text>
        <r>
          <rPr>
            <b/>
            <sz val="9"/>
            <color indexed="81"/>
            <rFont val="Tahoma"/>
            <family val="2"/>
          </rPr>
          <t xml:space="preserve">Bloomberg Ausbond Bank Bill Index
</t>
        </r>
        <r>
          <rPr>
            <sz val="9"/>
            <color indexed="81"/>
            <rFont val="Tahoma"/>
            <family val="2"/>
          </rPr>
          <t xml:space="preserve">
</t>
        </r>
      </text>
    </comment>
  </commentList>
</comments>
</file>

<file path=xl/sharedStrings.xml><?xml version="1.0" encoding="utf-8"?>
<sst xmlns="http://schemas.openxmlformats.org/spreadsheetml/2006/main" count="217" uniqueCount="151">
  <si>
    <t>DATE</t>
  </si>
  <si>
    <t>Volatility Matrix</t>
  </si>
  <si>
    <t>Check weights</t>
  </si>
  <si>
    <t>Target E[r]</t>
  </si>
  <si>
    <t>Actual E[r]</t>
  </si>
  <si>
    <t>E[r]</t>
  </si>
  <si>
    <t>Reward/Risk</t>
  </si>
  <si>
    <t>Max G/(G+D)</t>
  </si>
  <si>
    <t>Code</t>
  </si>
  <si>
    <t>AEQ</t>
  </si>
  <si>
    <t>Vol.</t>
  </si>
  <si>
    <t>Weights</t>
  </si>
  <si>
    <t>G/(G+D)</t>
  </si>
  <si>
    <t>Correlations Estimated from Data</t>
  </si>
  <si>
    <t>Objective</t>
  </si>
  <si>
    <t>Date</t>
  </si>
  <si>
    <t>Investment Objective</t>
  </si>
  <si>
    <t>CPI F'cast</t>
  </si>
  <si>
    <t>Prob. Neg. Year</t>
  </si>
  <si>
    <t>Growth/Defensive Classification, and Return &amp; Volatily Forecasts</t>
  </si>
  <si>
    <t>Obj.: CPI +</t>
  </si>
  <si>
    <t xml:space="preserve">Mean </t>
  </si>
  <si>
    <t>StDev</t>
  </si>
  <si>
    <t>AnnMean</t>
  </si>
  <si>
    <t>AnnStDev</t>
  </si>
  <si>
    <t>Volatility</t>
  </si>
  <si>
    <t>Min G/(G+D)</t>
  </si>
  <si>
    <t>Min</t>
  </si>
  <si>
    <t>Max</t>
  </si>
  <si>
    <t xml:space="preserve">Prob. Meet Obj. </t>
  </si>
  <si>
    <t>CASH</t>
  </si>
  <si>
    <t>Cash (D)</t>
  </si>
  <si>
    <t>Asset Class</t>
  </si>
  <si>
    <t xml:space="preserve">Growth/Def </t>
  </si>
  <si>
    <t>Variance (xVx')</t>
  </si>
  <si>
    <t>E[r]*</t>
  </si>
  <si>
    <t>From</t>
  </si>
  <si>
    <t>To</t>
  </si>
  <si>
    <t>Australian Fixed Interest (D)</t>
  </si>
  <si>
    <t>Bloomberg Ticker</t>
  </si>
  <si>
    <t>S&amp;P/ASX Total Return 300 Index</t>
  </si>
  <si>
    <t>AFI</t>
  </si>
  <si>
    <t>Check</t>
  </si>
  <si>
    <t>Portfolio</t>
  </si>
  <si>
    <t>a</t>
  </si>
  <si>
    <t>b</t>
  </si>
  <si>
    <t>c</t>
  </si>
  <si>
    <t>d</t>
  </si>
  <si>
    <t>e</t>
  </si>
  <si>
    <t>f</t>
  </si>
  <si>
    <t>g</t>
  </si>
  <si>
    <t>h</t>
  </si>
  <si>
    <t>i</t>
  </si>
  <si>
    <t>j</t>
  </si>
  <si>
    <t>k</t>
  </si>
  <si>
    <t>l</t>
  </si>
  <si>
    <t>Investment fees and taxes</t>
  </si>
  <si>
    <t>Australian Listed Property (G)</t>
  </si>
  <si>
    <t>Abercrombie active investment fees</t>
  </si>
  <si>
    <t>Australian Equity (G)</t>
  </si>
  <si>
    <t>FDCIISAH</t>
  </si>
  <si>
    <t>BAUBIL</t>
  </si>
  <si>
    <t>BACM0</t>
  </si>
  <si>
    <t>Total Return Index Name</t>
  </si>
  <si>
    <t>Accumlated value of initial $100 investment (before taxes and investment fees) from asset classes.</t>
  </si>
  <si>
    <t>ALP</t>
  </si>
  <si>
    <t>ID #</t>
  </si>
  <si>
    <t>Growth Weight</t>
  </si>
  <si>
    <t>The data below is used to construct the APRA SRP for Abercrombie in the Six Asset Portfolio worksheet.</t>
  </si>
  <si>
    <t>APRA Default Portfolio Weights</t>
  </si>
  <si>
    <t>APRA Simple Reference Portfolio</t>
  </si>
  <si>
    <t>As part of the annual Your Future, Your Super performance test, APRA constructs benchmark portfolios to provide product specific and risk-adjusted portfolio benchmarks. One of the portfolios constructed is a Simple Reference Portfolio (SRP) – a notional portfolio of passive, low-cost liquid investments. The purpose of the SRP is to measure the value an RSE licensee has generated for its members through its value adding activities, such as its strategic asset allocation decisions. The SRP consists of a growth portfolio and a defensive portfolio utilising only equities, bonds and cash (Refer to the table below).</t>
  </si>
  <si>
    <t>Note it is important that you select the appropriate Growth Weight above to reflect the correct risk-adjusted SRP.</t>
  </si>
  <si>
    <t>Developed Equity (G)</t>
  </si>
  <si>
    <t>Emerging Markets Equity (G)</t>
  </si>
  <si>
    <t>Global Government Bonds (D)</t>
  </si>
  <si>
    <t>NDDLWI</t>
  </si>
  <si>
    <t>ASA52</t>
  </si>
  <si>
    <t>NDLEEGF</t>
  </si>
  <si>
    <t>RDAU</t>
  </si>
  <si>
    <t>HEDGNAV</t>
  </si>
  <si>
    <t>Bloomberg AusBond Composite 0+ Yr Index</t>
  </si>
  <si>
    <t>LGTRTRAH</t>
  </si>
  <si>
    <t>Bloomberg AusBond Bank Bill Index</t>
  </si>
  <si>
    <t>Cash</t>
  </si>
  <si>
    <t>Assumed effective tax rate</t>
  </si>
  <si>
    <t>Asset Reallocation Fees</t>
  </si>
  <si>
    <t>1 = Growth</t>
  </si>
  <si>
    <t>0 = Defensive</t>
  </si>
  <si>
    <t>E[r] &amp; Vol. Forecast Inputs</t>
  </si>
  <si>
    <t>Hedge Funds (D)</t>
  </si>
  <si>
    <t>International Listed Infrastructure (G)</t>
  </si>
  <si>
    <t>ILI</t>
  </si>
  <si>
    <t>Summary statistics and accumulation value plots</t>
  </si>
  <si>
    <t>Optimisation Constrains</t>
  </si>
  <si>
    <t xml:space="preserve">Asset Classes </t>
  </si>
  <si>
    <t>Name</t>
  </si>
  <si>
    <t>List</t>
  </si>
  <si>
    <t>Growth</t>
  </si>
  <si>
    <t>High Growth</t>
  </si>
  <si>
    <t>Balanced</t>
  </si>
  <si>
    <t>Ticker Bloomberg</t>
  </si>
  <si>
    <t>Current Portfolios</t>
  </si>
  <si>
    <t>Weight</t>
  </si>
  <si>
    <t>Conservative</t>
  </si>
  <si>
    <t>Total growth assets</t>
  </si>
  <si>
    <t>Assets Index</t>
  </si>
  <si>
    <t>Asset Name</t>
  </si>
  <si>
    <t>Australian listed equity</t>
  </si>
  <si>
    <t>Int’l listed equity (unhedged)</t>
  </si>
  <si>
    <t>Australian property</t>
  </si>
  <si>
    <t>Australian fixed income</t>
  </si>
  <si>
    <t>Int’l fixed income (hedged)</t>
  </si>
  <si>
    <t>Asset Class Index</t>
  </si>
  <si>
    <t>S&amp;P/ASX 300 Total Return Index</t>
  </si>
  <si>
    <t>SAS52</t>
  </si>
  <si>
    <t>MSCI All Country World Ex-Australia with Special Tax (unhedged to AUD)</t>
  </si>
  <si>
    <t>DN714533</t>
  </si>
  <si>
    <t>Int’l listed equity (hedged)</t>
  </si>
  <si>
    <t>MSCI All Country World Ex-Australia with Special Tax (100% hedged to AUD)</t>
  </si>
  <si>
    <t>DE725341</t>
  </si>
  <si>
    <t>Australian listed property</t>
  </si>
  <si>
    <t>S&amp;P/ASX 300 A-REIT Index</t>
  </si>
  <si>
    <t>ASA6PROP</t>
  </si>
  <si>
    <t>International listed property</t>
  </si>
  <si>
    <t>FTSE EPRA Nareit Developed ex Aus Rental 100% Hedged to AUD Net Tax (Super) Index</t>
  </si>
  <si>
    <t>RAHRSAH</t>
  </si>
  <si>
    <t>Listed infrastructure</t>
  </si>
  <si>
    <t>FTSE Developed Core Infrastructure 100% Hedged to AUD Net Tax (Super) Index</t>
  </si>
  <si>
    <t>Bloomberg Ausbond Composite 0+ Index</t>
  </si>
  <si>
    <t>Bloomberg Barclays Global Aggregate Index (hedged to AUD)</t>
  </si>
  <si>
    <t>LEGATRAH</t>
  </si>
  <si>
    <t>Bloomberg Ausbond Bank Bill Index</t>
  </si>
  <si>
    <t>Six Asset Portfolio</t>
  </si>
  <si>
    <t>Australian Listed Equity [G]</t>
  </si>
  <si>
    <t>Int'l Listed Equity (Hedged) [G]</t>
  </si>
  <si>
    <t>Int'l Listed Equity (Unhedged) [G]</t>
  </si>
  <si>
    <t>Int'l Listed Infrastructure [G]</t>
  </si>
  <si>
    <t>Australian Listed Property [G]</t>
  </si>
  <si>
    <t>Int'l Listed Property [G]</t>
  </si>
  <si>
    <t>Australian Fixed Income [D]</t>
  </si>
  <si>
    <t>Cash [D]</t>
  </si>
  <si>
    <t>Int'l Fixed Income (Hedged) [D]</t>
  </si>
  <si>
    <t>ILE(H)</t>
  </si>
  <si>
    <t>ILE</t>
  </si>
  <si>
    <t>ILP</t>
  </si>
  <si>
    <t>IFI</t>
  </si>
  <si>
    <t>Index is net of taxes</t>
  </si>
  <si>
    <t>0% due to dividend imputation</t>
  </si>
  <si>
    <t>Monthly Total Returns from asset classes</t>
  </si>
  <si>
    <t>Ranges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</si>
</sst>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
    <numFmt numFmtId="167" formatCode="0.0000%"/>
  </numFmts>
  <fonts count="25" x14ac:knownFonts="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name val="Calibri"/>
      <family val="2"/>
      <scheme val="minor"/>
    </font>
    <font>
      <i/>
      <sz val="11"/>
      <color theme="1"/>
      <name val="Calibri"/>
      <family val="2"/>
      <scheme val="minor"/>
    </font>
    <font>
      <sz val="11"/>
      <color rgb="FF7030A0"/>
      <name val="Calibri"/>
      <family val="2"/>
      <scheme val="minor"/>
    </font>
    <font>
      <sz val="11"/>
      <color theme="5" tint="-0.249977111117893"/>
      <name val="Calibri"/>
      <family val="2"/>
      <scheme val="minor"/>
    </font>
    <font>
      <sz val="11"/>
      <color theme="9" tint="-0.249977111117893"/>
      <name val="Calibri"/>
      <family val="2"/>
      <scheme val="minor"/>
    </font>
    <font>
      <b/>
      <sz val="18"/>
      <color rgb="FFFF0000"/>
      <name val="Calibri"/>
      <family val="2"/>
      <scheme val="minor"/>
    </font>
    <font>
      <sz val="11"/>
      <color rgb="FF1F497D"/>
      <name val="Calibri"/>
      <family val="2"/>
      <scheme val="minor"/>
    </font>
    <font>
      <sz val="9"/>
      <color indexed="81"/>
      <name val="Tahoma"/>
      <family val="2"/>
    </font>
    <font>
      <b/>
      <sz val="9"/>
      <color indexed="81"/>
      <name val="Tahoma"/>
      <family val="2"/>
    </font>
    <font>
      <b/>
      <sz val="8"/>
      <color theme="1"/>
      <name val="Calibri"/>
      <family val="2"/>
      <scheme val="minor"/>
    </font>
    <font>
      <b/>
      <sz val="11"/>
      <color theme="1"/>
      <name val="Calibri"/>
      <family val="2"/>
    </font>
    <font>
      <b/>
      <sz val="14"/>
      <color theme="1"/>
      <name val="Calibri"/>
      <family val="2"/>
      <scheme val="minor"/>
    </font>
    <font>
      <sz val="14"/>
      <color theme="1"/>
      <name val="Calibri"/>
      <family val="2"/>
      <scheme val="minor"/>
    </font>
    <font>
      <sz val="11"/>
      <color rgb="FF201F1E"/>
      <name val="Calibri"/>
      <family val="2"/>
      <scheme val="minor"/>
    </font>
    <font>
      <b/>
      <i/>
      <sz val="11"/>
      <color theme="1"/>
      <name val="Calibri"/>
      <family val="2"/>
      <scheme val="minor"/>
    </font>
    <font>
      <b/>
      <sz val="14"/>
      <color rgb="FF000000"/>
      <name val="Calibri"/>
      <family val="2"/>
    </font>
    <font>
      <sz val="11"/>
      <color rgb="FF000000"/>
      <name val="Calibri"/>
      <family val="2"/>
    </font>
    <font>
      <sz val="11"/>
      <color rgb="FF000000"/>
      <name val="Calibri"/>
      <family val="2"/>
      <scheme val="minor"/>
    </font>
    <font>
      <b/>
      <sz val="11"/>
      <color rgb="FF000000"/>
      <name val="Calibri"/>
      <family val="2"/>
      <scheme val="minor"/>
    </font>
    <font>
      <b/>
      <sz val="9"/>
      <color rgb="FF000000"/>
      <name val="Tahoma"/>
      <family val="2"/>
    </font>
    <font>
      <sz val="9"/>
      <color rgb="FF000000"/>
      <name val="Tahoma"/>
      <family val="2"/>
    </font>
  </fonts>
  <fills count="9">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rgb="FFF8CBAD"/>
        <bgColor indexed="64"/>
      </patternFill>
    </fill>
    <fill>
      <patternFill patternType="solid">
        <fgColor rgb="FFFFFF00"/>
        <bgColor indexed="64"/>
      </patternFill>
    </fill>
    <fill>
      <patternFill patternType="solid">
        <fgColor theme="7"/>
        <bgColor indexed="64"/>
      </patternFill>
    </fill>
    <fill>
      <patternFill patternType="solid">
        <fgColor rgb="FFC5E0B3"/>
        <bgColor indexed="64"/>
      </patternFill>
    </fill>
    <fill>
      <patternFill patternType="solid">
        <fgColor rgb="FFFF0000"/>
        <bgColor indexed="64"/>
      </patternFill>
    </fill>
  </fills>
  <borders count="3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top/>
      <bottom style="medium">
        <color rgb="FFA6A6A6"/>
      </bottom>
      <diagonal/>
    </border>
  </borders>
  <cellStyleXfs count="3">
    <xf numFmtId="0" fontId="0" fillId="0" borderId="0"/>
    <xf numFmtId="9" fontId="1" fillId="0" borderId="0" applyFont="0" applyFill="0" applyBorder="0" applyAlignment="0" applyProtection="0"/>
    <xf numFmtId="0" fontId="2" fillId="0" borderId="0"/>
  </cellStyleXfs>
  <cellXfs count="236">
    <xf numFmtId="0" fontId="0" fillId="0" borderId="0" xfId="0"/>
    <xf numFmtId="14" fontId="0" fillId="0" borderId="0" xfId="0" applyNumberFormat="1"/>
    <xf numFmtId="0" fontId="0" fillId="0" borderId="0" xfId="0" applyAlignment="1">
      <alignment textRotation="90" wrapText="1"/>
    </xf>
    <xf numFmtId="0" fontId="0" fillId="3" borderId="0" xfId="0" applyFill="1"/>
    <xf numFmtId="0" fontId="0" fillId="3" borderId="2" xfId="0" applyFill="1" applyBorder="1" applyAlignment="1">
      <alignment horizontal="center" wrapText="1"/>
    </xf>
    <xf numFmtId="0" fontId="0" fillId="3" borderId="3" xfId="0" applyFill="1" applyBorder="1" applyAlignment="1">
      <alignment horizontal="center" wrapText="1"/>
    </xf>
    <xf numFmtId="0" fontId="3" fillId="3" borderId="1" xfId="0" applyFont="1" applyFill="1" applyBorder="1" applyAlignment="1">
      <alignment horizontal="center" vertical="center" wrapText="1"/>
    </xf>
    <xf numFmtId="0" fontId="0" fillId="3" borderId="4" xfId="0" applyFill="1" applyBorder="1"/>
    <xf numFmtId="164" fontId="0" fillId="3" borderId="0" xfId="1" applyNumberFormat="1" applyFont="1" applyFill="1" applyBorder="1" applyAlignment="1">
      <alignment horizontal="center"/>
    </xf>
    <xf numFmtId="0" fontId="6" fillId="3" borderId="4" xfId="0" applyFont="1" applyFill="1" applyBorder="1" applyAlignment="1">
      <alignment horizontal="center"/>
    </xf>
    <xf numFmtId="0" fontId="0" fillId="3" borderId="4" xfId="0" applyFill="1" applyBorder="1" applyAlignment="1">
      <alignment horizontal="right"/>
    </xf>
    <xf numFmtId="0" fontId="7" fillId="3" borderId="4" xfId="0" applyFont="1" applyFill="1" applyBorder="1" applyAlignment="1">
      <alignment horizontal="center"/>
    </xf>
    <xf numFmtId="0" fontId="0" fillId="3" borderId="6" xfId="0" applyFill="1" applyBorder="1" applyAlignment="1">
      <alignment horizontal="right"/>
    </xf>
    <xf numFmtId="0" fontId="8" fillId="3" borderId="4" xfId="0" applyFont="1" applyFill="1" applyBorder="1" applyAlignment="1">
      <alignment horizontal="center"/>
    </xf>
    <xf numFmtId="0" fontId="0" fillId="3" borderId="6" xfId="0" applyFill="1" applyBorder="1"/>
    <xf numFmtId="0" fontId="7" fillId="3" borderId="6" xfId="0" applyFont="1" applyFill="1" applyBorder="1" applyAlignment="1">
      <alignment horizontal="center"/>
    </xf>
    <xf numFmtId="0" fontId="9" fillId="3" borderId="0" xfId="0" applyFont="1" applyFill="1"/>
    <xf numFmtId="0" fontId="0" fillId="3" borderId="0" xfId="0" applyFill="1" applyAlignment="1">
      <alignment wrapText="1"/>
    </xf>
    <xf numFmtId="2" fontId="0" fillId="3" borderId="0" xfId="0" applyNumberFormat="1" applyFill="1"/>
    <xf numFmtId="164" fontId="0" fillId="3" borderId="0" xfId="1" applyNumberFormat="1" applyFont="1" applyFill="1"/>
    <xf numFmtId="0" fontId="0" fillId="3" borderId="7" xfId="0" applyFill="1" applyBorder="1" applyAlignment="1">
      <alignment horizontal="right"/>
    </xf>
    <xf numFmtId="164" fontId="0" fillId="3" borderId="0" xfId="1" applyNumberFormat="1" applyFont="1" applyFill="1" applyBorder="1" applyAlignment="1">
      <alignment horizontal="right"/>
    </xf>
    <xf numFmtId="0" fontId="3" fillId="3" borderId="9" xfId="0" applyFont="1" applyFill="1" applyBorder="1" applyAlignment="1">
      <alignment horizontal="center" vertical="center"/>
    </xf>
    <xf numFmtId="0" fontId="7" fillId="3" borderId="0" xfId="0" applyFont="1" applyFill="1" applyAlignment="1">
      <alignment horizontal="right"/>
    </xf>
    <xf numFmtId="0" fontId="6" fillId="3" borderId="0" xfId="0" applyFont="1" applyFill="1" applyAlignment="1">
      <alignment horizontal="right"/>
    </xf>
    <xf numFmtId="0" fontId="8" fillId="3" borderId="0" xfId="0" applyFont="1" applyFill="1" applyAlignment="1">
      <alignment horizontal="right"/>
    </xf>
    <xf numFmtId="0" fontId="0" fillId="3" borderId="0" xfId="0" applyFill="1" applyAlignment="1">
      <alignment vertical="top" wrapText="1"/>
    </xf>
    <xf numFmtId="0" fontId="10" fillId="0" borderId="0" xfId="0" applyFont="1" applyAlignment="1">
      <alignment vertical="center"/>
    </xf>
    <xf numFmtId="10" fontId="0" fillId="0" borderId="0" xfId="1" applyNumberFormat="1" applyFont="1" applyBorder="1"/>
    <xf numFmtId="0" fontId="0" fillId="3" borderId="1" xfId="0" applyFill="1" applyBorder="1"/>
    <xf numFmtId="0" fontId="0" fillId="0" borderId="7" xfId="0" applyBorder="1"/>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0" borderId="19" xfId="0" applyBorder="1" applyAlignment="1">
      <alignment textRotation="90" wrapText="1"/>
    </xf>
    <xf numFmtId="0" fontId="0" fillId="0" borderId="7" xfId="0" applyBorder="1" applyAlignment="1">
      <alignment horizontal="center" textRotation="90" wrapText="1"/>
    </xf>
    <xf numFmtId="14" fontId="0" fillId="2" borderId="23" xfId="0" applyNumberFormat="1" applyFill="1" applyBorder="1"/>
    <xf numFmtId="164" fontId="0" fillId="0" borderId="0" xfId="1" applyNumberFormat="1" applyFont="1" applyFill="1" applyBorder="1" applyAlignment="1">
      <alignment horizontal="center"/>
    </xf>
    <xf numFmtId="164" fontId="0" fillId="0" borderId="8" xfId="1" applyNumberFormat="1" applyFont="1" applyFill="1" applyBorder="1" applyAlignment="1">
      <alignment horizontal="center"/>
    </xf>
    <xf numFmtId="2" fontId="0" fillId="0" borderId="1" xfId="0" applyNumberFormat="1" applyBorder="1" applyAlignment="1">
      <alignment horizontal="center"/>
    </xf>
    <xf numFmtId="2" fontId="0" fillId="0" borderId="2" xfId="0" applyNumberFormat="1" applyBorder="1" applyAlignment="1">
      <alignment horizontal="center"/>
    </xf>
    <xf numFmtId="2" fontId="0" fillId="0" borderId="3" xfId="0" applyNumberFormat="1" applyBorder="1" applyAlignment="1">
      <alignment horizontal="center"/>
    </xf>
    <xf numFmtId="2" fontId="0" fillId="0" borderId="4" xfId="0" applyNumberFormat="1" applyBorder="1" applyAlignment="1">
      <alignment horizontal="center"/>
    </xf>
    <xf numFmtId="2" fontId="0" fillId="0" borderId="0" xfId="0" applyNumberFormat="1" applyAlignment="1">
      <alignment horizontal="center"/>
    </xf>
    <xf numFmtId="2" fontId="0" fillId="0" borderId="5"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164" fontId="0" fillId="0" borderId="1" xfId="1" applyNumberFormat="1" applyFont="1" applyFill="1" applyBorder="1" applyAlignment="1">
      <alignment horizontal="center"/>
    </xf>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164" fontId="0" fillId="0" borderId="4" xfId="1" applyNumberFormat="1" applyFont="1" applyFill="1" applyBorder="1" applyAlignment="1">
      <alignment horizontal="center"/>
    </xf>
    <xf numFmtId="164" fontId="0" fillId="0" borderId="5" xfId="1" applyNumberFormat="1" applyFont="1" applyFill="1" applyBorder="1" applyAlignment="1">
      <alignment horizontal="center"/>
    </xf>
    <xf numFmtId="164" fontId="0" fillId="0" borderId="6" xfId="1" applyNumberFormat="1" applyFont="1" applyFill="1" applyBorder="1" applyAlignment="1">
      <alignment horizontal="center"/>
    </xf>
    <xf numFmtId="164" fontId="0" fillId="0" borderId="7" xfId="1" applyNumberFormat="1" applyFont="1" applyFill="1" applyBorder="1" applyAlignment="1">
      <alignment horizontal="center"/>
    </xf>
    <xf numFmtId="10" fontId="0" fillId="0" borderId="0" xfId="1" applyNumberFormat="1" applyFont="1" applyFill="1" applyBorder="1" applyAlignment="1">
      <alignment horizontal="center"/>
    </xf>
    <xf numFmtId="10" fontId="0" fillId="0" borderId="5" xfId="1" applyNumberFormat="1" applyFont="1" applyFill="1" applyBorder="1" applyAlignment="1">
      <alignment horizontal="center"/>
    </xf>
    <xf numFmtId="164" fontId="0" fillId="0" borderId="12" xfId="1" applyNumberFormat="1" applyFont="1" applyFill="1" applyBorder="1" applyAlignment="1">
      <alignment horizontal="center"/>
    </xf>
    <xf numFmtId="164" fontId="0" fillId="0" borderId="17" xfId="1" applyNumberFormat="1" applyFont="1" applyFill="1" applyBorder="1" applyAlignment="1">
      <alignment horizontal="center"/>
    </xf>
    <xf numFmtId="2" fontId="0" fillId="4" borderId="7" xfId="0" applyNumberFormat="1" applyFill="1" applyBorder="1" applyAlignment="1">
      <alignment horizontal="center"/>
    </xf>
    <xf numFmtId="0" fontId="0" fillId="0" borderId="4" xfId="0" applyBorder="1"/>
    <xf numFmtId="0" fontId="0" fillId="0" borderId="5" xfId="0" applyBorder="1"/>
    <xf numFmtId="0" fontId="0" fillId="0" borderId="9" xfId="0" applyBorder="1" applyAlignment="1">
      <alignment horizontal="center" textRotation="90" wrapText="1"/>
    </xf>
    <xf numFmtId="0" fontId="0" fillId="0" borderId="19" xfId="0" applyBorder="1" applyAlignment="1">
      <alignment horizontal="center" textRotation="90" wrapText="1"/>
    </xf>
    <xf numFmtId="0" fontId="0" fillId="0" borderId="10" xfId="0" applyBorder="1" applyAlignment="1">
      <alignment horizontal="center" textRotation="90" wrapText="1"/>
    </xf>
    <xf numFmtId="0" fontId="6" fillId="3" borderId="12" xfId="0" applyFont="1" applyFill="1" applyBorder="1" applyAlignment="1">
      <alignment horizontal="right"/>
    </xf>
    <xf numFmtId="164" fontId="0" fillId="0" borderId="13" xfId="1" applyNumberFormat="1" applyFont="1" applyFill="1" applyBorder="1" applyAlignment="1">
      <alignment horizontal="center"/>
    </xf>
    <xf numFmtId="10" fontId="0" fillId="0" borderId="7" xfId="1" applyNumberFormat="1" applyFont="1" applyFill="1" applyBorder="1" applyAlignment="1">
      <alignment horizontal="center"/>
    </xf>
    <xf numFmtId="10" fontId="0" fillId="0" borderId="8" xfId="1" applyNumberFormat="1" applyFont="1" applyFill="1" applyBorder="1" applyAlignment="1">
      <alignment horizontal="center"/>
    </xf>
    <xf numFmtId="0" fontId="3" fillId="0" borderId="0" xfId="0" applyFont="1"/>
    <xf numFmtId="166" fontId="0" fillId="0" borderId="0" xfId="1" applyNumberFormat="1" applyFont="1" applyFill="1" applyBorder="1" applyAlignment="1">
      <alignment horizontal="center"/>
    </xf>
    <xf numFmtId="166" fontId="0" fillId="0" borderId="5" xfId="1" applyNumberFormat="1" applyFont="1" applyFill="1" applyBorder="1" applyAlignment="1">
      <alignment horizontal="center"/>
    </xf>
    <xf numFmtId="0" fontId="0" fillId="3" borderId="1" xfId="0" applyFill="1" applyBorder="1" applyAlignment="1">
      <alignment horizontal="right" vertical="center" wrapText="1"/>
    </xf>
    <xf numFmtId="167" fontId="0" fillId="0" borderId="0" xfId="1" applyNumberFormat="1" applyFont="1" applyFill="1" applyBorder="1" applyAlignment="1">
      <alignment horizontal="center"/>
    </xf>
    <xf numFmtId="167" fontId="0" fillId="5" borderId="0" xfId="1" applyNumberFormat="1" applyFont="1" applyFill="1"/>
    <xf numFmtId="164" fontId="0" fillId="0" borderId="15" xfId="1" applyNumberFormat="1" applyFont="1" applyFill="1" applyBorder="1" applyAlignment="1">
      <alignment horizontal="center"/>
    </xf>
    <xf numFmtId="164" fontId="0" fillId="0" borderId="18" xfId="1" applyNumberFormat="1" applyFont="1" applyFill="1" applyBorder="1" applyAlignment="1">
      <alignment horizontal="center"/>
    </xf>
    <xf numFmtId="0" fontId="0" fillId="3" borderId="20" xfId="0" applyFill="1" applyBorder="1"/>
    <xf numFmtId="0" fontId="0" fillId="3" borderId="21" xfId="0" applyFill="1" applyBorder="1" applyAlignment="1">
      <alignment horizontal="right"/>
    </xf>
    <xf numFmtId="2" fontId="0" fillId="3" borderId="21" xfId="0" applyNumberFormat="1" applyFill="1" applyBorder="1"/>
    <xf numFmtId="2" fontId="0" fillId="3" borderId="22" xfId="0" applyNumberFormat="1" applyFill="1" applyBorder="1"/>
    <xf numFmtId="0" fontId="0" fillId="3" borderId="14" xfId="0" applyFill="1" applyBorder="1" applyAlignment="1">
      <alignment horizontal="center"/>
    </xf>
    <xf numFmtId="2" fontId="0" fillId="3" borderId="14" xfId="0" applyNumberFormat="1" applyFill="1" applyBorder="1" applyAlignment="1">
      <alignment horizontal="center"/>
    </xf>
    <xf numFmtId="2" fontId="0" fillId="3" borderId="16" xfId="0" applyNumberFormat="1" applyFill="1" applyBorder="1" applyAlignment="1">
      <alignment horizontal="center"/>
    </xf>
    <xf numFmtId="0" fontId="7" fillId="3" borderId="17" xfId="0" applyFont="1" applyFill="1" applyBorder="1" applyAlignment="1">
      <alignment horizontal="right"/>
    </xf>
    <xf numFmtId="2" fontId="5" fillId="3" borderId="11" xfId="0" applyNumberFormat="1" applyFont="1" applyFill="1" applyBorder="1" applyAlignment="1">
      <alignment horizontal="center"/>
    </xf>
    <xf numFmtId="0" fontId="5" fillId="3" borderId="11" xfId="0" applyFont="1" applyFill="1" applyBorder="1" applyAlignment="1">
      <alignment horizontal="center"/>
    </xf>
    <xf numFmtId="0" fontId="0" fillId="3" borderId="12" xfId="0" applyFill="1" applyBorder="1" applyAlignment="1">
      <alignment horizontal="right"/>
    </xf>
    <xf numFmtId="164" fontId="0" fillId="3" borderId="14" xfId="1" applyNumberFormat="1" applyFont="1" applyFill="1" applyBorder="1" applyAlignment="1">
      <alignment horizontal="center"/>
    </xf>
    <xf numFmtId="10" fontId="0" fillId="0" borderId="15" xfId="1" applyNumberFormat="1" applyFont="1" applyFill="1" applyBorder="1" applyAlignment="1">
      <alignment horizontal="center"/>
    </xf>
    <xf numFmtId="164" fontId="0" fillId="3" borderId="16" xfId="1" applyNumberFormat="1" applyFont="1" applyFill="1" applyBorder="1"/>
    <xf numFmtId="164" fontId="0" fillId="3" borderId="17" xfId="1" applyNumberFormat="1" applyFont="1" applyFill="1" applyBorder="1" applyAlignment="1">
      <alignment horizontal="right"/>
    </xf>
    <xf numFmtId="0" fontId="5" fillId="3" borderId="21" xfId="0" applyFont="1" applyFill="1" applyBorder="1" applyAlignment="1">
      <alignment horizontal="left"/>
    </xf>
    <xf numFmtId="0" fontId="0" fillId="3" borderId="21" xfId="0" applyFill="1" applyBorder="1" applyAlignment="1">
      <alignment horizontal="center"/>
    </xf>
    <xf numFmtId="0" fontId="0" fillId="3" borderId="22" xfId="0" applyFill="1" applyBorder="1" applyAlignment="1">
      <alignment horizontal="center"/>
    </xf>
    <xf numFmtId="0" fontId="0" fillId="3" borderId="11" xfId="0" applyFill="1" applyBorder="1"/>
    <xf numFmtId="2" fontId="0" fillId="4" borderId="12" xfId="0" applyNumberFormat="1" applyFill="1" applyBorder="1" applyAlignment="1">
      <alignment horizontal="center"/>
    </xf>
    <xf numFmtId="2" fontId="0" fillId="0" borderId="12" xfId="0" applyNumberFormat="1" applyBorder="1" applyAlignment="1">
      <alignment horizontal="center"/>
    </xf>
    <xf numFmtId="2" fontId="0" fillId="4" borderId="13" xfId="0" applyNumberFormat="1" applyFill="1" applyBorder="1" applyAlignment="1">
      <alignment horizontal="center"/>
    </xf>
    <xf numFmtId="164" fontId="0" fillId="3" borderId="24" xfId="1" applyNumberFormat="1" applyFont="1" applyFill="1" applyBorder="1"/>
    <xf numFmtId="2" fontId="0" fillId="4" borderId="25" xfId="0" applyNumberFormat="1" applyFill="1" applyBorder="1" applyAlignment="1">
      <alignment horizontal="center"/>
    </xf>
    <xf numFmtId="164" fontId="4" fillId="0" borderId="17" xfId="1" applyNumberFormat="1" applyFont="1" applyFill="1" applyBorder="1" applyAlignment="1">
      <alignment horizontal="center"/>
    </xf>
    <xf numFmtId="164" fontId="4" fillId="0" borderId="18" xfId="1" applyNumberFormat="1" applyFont="1" applyFill="1" applyBorder="1" applyAlignment="1">
      <alignment horizontal="center"/>
    </xf>
    <xf numFmtId="0" fontId="3" fillId="3" borderId="26" xfId="0" applyFont="1" applyFill="1" applyBorder="1" applyAlignment="1">
      <alignment horizontal="center" vertical="center" wrapText="1"/>
    </xf>
    <xf numFmtId="0" fontId="0" fillId="0" borderId="26" xfId="0" applyBorder="1" applyAlignment="1">
      <alignment vertical="top" wrapText="1"/>
    </xf>
    <xf numFmtId="0" fontId="3" fillId="3" borderId="0" xfId="0" applyFont="1" applyFill="1"/>
    <xf numFmtId="0" fontId="14" fillId="3" borderId="0" xfId="0" applyFont="1" applyFill="1" applyAlignment="1">
      <alignment horizontal="center"/>
    </xf>
    <xf numFmtId="0" fontId="3" fillId="6" borderId="27" xfId="0" applyFont="1" applyFill="1" applyBorder="1" applyAlignment="1">
      <alignment horizontal="center"/>
    </xf>
    <xf numFmtId="0" fontId="3" fillId="6" borderId="28" xfId="0" applyFont="1" applyFill="1" applyBorder="1" applyAlignment="1">
      <alignment horizontal="center"/>
    </xf>
    <xf numFmtId="0" fontId="3" fillId="6" borderId="29" xfId="0" applyFont="1" applyFill="1" applyBorder="1" applyAlignment="1">
      <alignment horizontal="center"/>
    </xf>
    <xf numFmtId="0" fontId="3" fillId="0" borderId="26" xfId="0" applyFont="1" applyBorder="1"/>
    <xf numFmtId="0" fontId="0" fillId="0" borderId="0" xfId="0" applyAlignment="1">
      <alignment horizontal="center" textRotation="90" wrapText="1"/>
    </xf>
    <xf numFmtId="0" fontId="3" fillId="0" borderId="0" xfId="0" applyFont="1" applyAlignment="1">
      <alignment horizontal="center" wrapText="1"/>
    </xf>
    <xf numFmtId="9" fontId="0" fillId="3" borderId="0" xfId="0" applyNumberFormat="1" applyFill="1"/>
    <xf numFmtId="9" fontId="0" fillId="0" borderId="0" xfId="0" applyNumberFormat="1"/>
    <xf numFmtId="2" fontId="4" fillId="0" borderId="12" xfId="0" applyNumberFormat="1" applyFont="1" applyBorder="1" applyAlignment="1">
      <alignment horizontal="center"/>
    </xf>
    <xf numFmtId="2" fontId="4" fillId="0" borderId="13" xfId="0" applyNumberFormat="1" applyFont="1" applyBorder="1" applyAlignment="1">
      <alignment horizontal="center"/>
    </xf>
    <xf numFmtId="0" fontId="0" fillId="3" borderId="0" xfId="0" applyFill="1" applyAlignment="1">
      <alignment horizontal="center"/>
    </xf>
    <xf numFmtId="9" fontId="0" fillId="3" borderId="0" xfId="0" applyNumberFormat="1" applyFill="1" applyAlignment="1">
      <alignment horizontal="center"/>
    </xf>
    <xf numFmtId="0" fontId="15" fillId="3" borderId="0" xfId="0" applyFont="1" applyFill="1" applyAlignment="1">
      <alignment vertical="center"/>
    </xf>
    <xf numFmtId="0" fontId="16" fillId="3" borderId="0" xfId="0" applyFont="1" applyFill="1"/>
    <xf numFmtId="0" fontId="15" fillId="3" borderId="0" xfId="0" applyFont="1" applyFill="1"/>
    <xf numFmtId="9" fontId="15" fillId="2" borderId="30" xfId="0" applyNumberFormat="1" applyFont="1" applyFill="1" applyBorder="1" applyAlignment="1">
      <alignment horizontal="center"/>
    </xf>
    <xf numFmtId="10" fontId="3" fillId="3" borderId="26" xfId="1" applyNumberFormat="1" applyFont="1" applyFill="1" applyBorder="1" applyAlignment="1">
      <alignment horizontal="center" vertical="center" wrapText="1"/>
    </xf>
    <xf numFmtId="9" fontId="0" fillId="3" borderId="29" xfId="0" applyNumberFormat="1" applyFill="1" applyBorder="1" applyAlignment="1">
      <alignment horizontal="center"/>
    </xf>
    <xf numFmtId="0" fontId="3" fillId="3" borderId="27" xfId="0" applyFont="1" applyFill="1" applyBorder="1" applyAlignment="1">
      <alignment horizontal="center"/>
    </xf>
    <xf numFmtId="0" fontId="3" fillId="3" borderId="28" xfId="0" applyFont="1" applyFill="1" applyBorder="1" applyAlignment="1">
      <alignment horizontal="center"/>
    </xf>
    <xf numFmtId="0" fontId="3" fillId="3" borderId="29" xfId="0" applyFont="1" applyFill="1" applyBorder="1" applyAlignment="1">
      <alignment horizontal="center"/>
    </xf>
    <xf numFmtId="165" fontId="0" fillId="0" borderId="0" xfId="0" applyNumberFormat="1"/>
    <xf numFmtId="165" fontId="0" fillId="0" borderId="0" xfId="0" applyNumberFormat="1" applyAlignment="1">
      <alignment horizontal="center"/>
    </xf>
    <xf numFmtId="0" fontId="0" fillId="0" borderId="6" xfId="0" applyBorder="1"/>
    <xf numFmtId="0" fontId="3" fillId="0" borderId="9" xfId="0" applyFont="1" applyBorder="1" applyAlignment="1">
      <alignment horizontal="center"/>
    </xf>
    <xf numFmtId="0" fontId="3" fillId="0" borderId="19" xfId="0" applyFont="1" applyBorder="1" applyAlignment="1">
      <alignment horizontal="center"/>
    </xf>
    <xf numFmtId="0" fontId="3" fillId="0" borderId="10" xfId="0" applyFont="1" applyBorder="1" applyAlignment="1">
      <alignment horizontal="center"/>
    </xf>
    <xf numFmtId="167" fontId="0" fillId="0" borderId="5" xfId="1" applyNumberFormat="1" applyFont="1" applyFill="1" applyBorder="1" applyAlignment="1">
      <alignment horizontal="center"/>
    </xf>
    <xf numFmtId="14" fontId="0" fillId="2" borderId="31" xfId="0" applyNumberFormat="1" applyFill="1" applyBorder="1"/>
    <xf numFmtId="0" fontId="13" fillId="3" borderId="1" xfId="0" applyFont="1" applyFill="1" applyBorder="1"/>
    <xf numFmtId="0" fontId="3" fillId="3" borderId="2" xfId="0" applyFont="1" applyFill="1" applyBorder="1" applyAlignment="1">
      <alignment horizontal="center"/>
    </xf>
    <xf numFmtId="0" fontId="13" fillId="3" borderId="4" xfId="0" applyFont="1" applyFill="1" applyBorder="1"/>
    <xf numFmtId="0" fontId="13" fillId="3" borderId="6" xfId="0" applyFont="1" applyFill="1" applyBorder="1"/>
    <xf numFmtId="0" fontId="0" fillId="0" borderId="3" xfId="0" applyBorder="1" applyAlignment="1">
      <alignment horizontal="center"/>
    </xf>
    <xf numFmtId="0" fontId="0" fillId="0" borderId="27" xfId="0" applyBorder="1"/>
    <xf numFmtId="0" fontId="0" fillId="0" borderId="27" xfId="0" applyBorder="1" applyAlignment="1">
      <alignment vertical="top"/>
    </xf>
    <xf numFmtId="0" fontId="0" fillId="0" borderId="5" xfId="0" applyBorder="1" applyAlignment="1">
      <alignment horizontal="center"/>
    </xf>
    <xf numFmtId="0" fontId="0" fillId="0" borderId="28" xfId="0" applyBorder="1"/>
    <xf numFmtId="0" fontId="0" fillId="0" borderId="28" xfId="0" applyBorder="1" applyAlignment="1">
      <alignment vertical="top"/>
    </xf>
    <xf numFmtId="0" fontId="0" fillId="0" borderId="8" xfId="0" applyBorder="1" applyAlignment="1">
      <alignment horizontal="center"/>
    </xf>
    <xf numFmtId="0" fontId="0" fillId="0" borderId="29" xfId="0" applyBorder="1"/>
    <xf numFmtId="0" fontId="0" fillId="0" borderId="29" xfId="0" applyBorder="1" applyAlignment="1">
      <alignment vertical="top"/>
    </xf>
    <xf numFmtId="0" fontId="17" fillId="0" borderId="28" xfId="0" applyFont="1" applyBorder="1"/>
    <xf numFmtId="0" fontId="0" fillId="0" borderId="0" xfId="0" applyAlignment="1">
      <alignment vertical="top" wrapText="1"/>
    </xf>
    <xf numFmtId="10" fontId="0" fillId="3" borderId="29" xfId="1" applyNumberFormat="1" applyFont="1" applyFill="1" applyBorder="1" applyAlignment="1">
      <alignment horizontal="center"/>
    </xf>
    <xf numFmtId="10" fontId="3" fillId="2" borderId="3" xfId="0" applyNumberFormat="1" applyFont="1" applyFill="1" applyBorder="1" applyAlignment="1">
      <alignment horizontal="center" vertical="center" wrapText="1"/>
    </xf>
    <xf numFmtId="10" fontId="3" fillId="2" borderId="5" xfId="1" applyNumberFormat="1" applyFont="1" applyFill="1" applyBorder="1" applyAlignment="1">
      <alignment horizontal="center"/>
    </xf>
    <xf numFmtId="0" fontId="0" fillId="3" borderId="29" xfId="0" applyFill="1" applyBorder="1" applyAlignment="1">
      <alignment horizontal="center"/>
    </xf>
    <xf numFmtId="0" fontId="3" fillId="3" borderId="26" xfId="0" applyFont="1" applyFill="1" applyBorder="1" applyAlignment="1">
      <alignment horizontal="center"/>
    </xf>
    <xf numFmtId="0" fontId="3" fillId="3" borderId="2" xfId="0" applyFont="1" applyFill="1" applyBorder="1" applyAlignment="1">
      <alignment horizontal="center" wrapText="1"/>
    </xf>
    <xf numFmtId="164" fontId="0" fillId="3" borderId="2" xfId="1" applyNumberFormat="1" applyFont="1" applyFill="1" applyBorder="1" applyAlignment="1">
      <alignment horizontal="center"/>
    </xf>
    <xf numFmtId="164" fontId="0" fillId="3" borderId="7" xfId="1" applyNumberFormat="1" applyFont="1" applyFill="1" applyBorder="1" applyAlignment="1">
      <alignment horizontal="center"/>
    </xf>
    <xf numFmtId="0" fontId="0" fillId="3" borderId="2" xfId="0" applyFill="1" applyBorder="1" applyAlignment="1">
      <alignment horizontal="center"/>
    </xf>
    <xf numFmtId="164" fontId="1" fillId="3" borderId="2" xfId="1" applyNumberFormat="1" applyFont="1" applyFill="1" applyBorder="1" applyAlignment="1">
      <alignment horizontal="center"/>
    </xf>
    <xf numFmtId="10" fontId="1" fillId="3" borderId="2" xfId="1" applyNumberFormat="1" applyFont="1" applyFill="1" applyBorder="1" applyAlignment="1">
      <alignment horizontal="center"/>
    </xf>
    <xf numFmtId="164" fontId="1" fillId="3" borderId="0" xfId="1" applyNumberFormat="1" applyFont="1" applyFill="1" applyBorder="1" applyAlignment="1">
      <alignment horizontal="center"/>
    </xf>
    <xf numFmtId="10" fontId="1" fillId="3" borderId="0" xfId="1" applyNumberFormat="1" applyFont="1" applyFill="1" applyBorder="1" applyAlignment="1">
      <alignment horizontal="center"/>
    </xf>
    <xf numFmtId="0" fontId="0" fillId="3" borderId="7" xfId="0" applyFill="1" applyBorder="1" applyAlignment="1">
      <alignment horizontal="center"/>
    </xf>
    <xf numFmtId="164" fontId="1" fillId="3" borderId="7" xfId="1" applyNumberFormat="1" applyFont="1" applyFill="1" applyBorder="1" applyAlignment="1">
      <alignment horizontal="center"/>
    </xf>
    <xf numFmtId="10" fontId="1" fillId="3" borderId="7" xfId="1" applyNumberFormat="1" applyFont="1" applyFill="1" applyBorder="1" applyAlignment="1">
      <alignment horizontal="center"/>
    </xf>
    <xf numFmtId="164" fontId="3" fillId="2" borderId="1" xfId="1" applyNumberFormat="1" applyFont="1" applyFill="1" applyBorder="1" applyAlignment="1">
      <alignment horizontal="center"/>
    </xf>
    <xf numFmtId="164" fontId="3" fillId="2" borderId="3" xfId="1" applyNumberFormat="1" applyFont="1" applyFill="1" applyBorder="1" applyAlignment="1">
      <alignment horizontal="center"/>
    </xf>
    <xf numFmtId="164" fontId="3" fillId="2" borderId="4" xfId="1" applyNumberFormat="1" applyFont="1" applyFill="1" applyBorder="1" applyAlignment="1">
      <alignment horizontal="center"/>
    </xf>
    <xf numFmtId="164" fontId="3" fillId="2" borderId="5" xfId="1" applyNumberFormat="1" applyFont="1" applyFill="1" applyBorder="1" applyAlignment="1">
      <alignment horizontal="center"/>
    </xf>
    <xf numFmtId="164" fontId="3" fillId="2" borderId="6" xfId="1" applyNumberFormat="1" applyFont="1" applyFill="1" applyBorder="1" applyAlignment="1">
      <alignment horizontal="center"/>
    </xf>
    <xf numFmtId="164" fontId="3" fillId="2" borderId="8" xfId="1" applyNumberFormat="1" applyFont="1" applyFill="1" applyBorder="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wrapText="1"/>
    </xf>
    <xf numFmtId="0" fontId="0" fillId="3" borderId="4" xfId="0" applyFill="1" applyBorder="1" applyAlignment="1">
      <alignment horizontal="center"/>
    </xf>
    <xf numFmtId="164" fontId="3" fillId="2" borderId="0" xfId="0" applyNumberFormat="1" applyFont="1" applyFill="1" applyAlignment="1">
      <alignment horizontal="center"/>
    </xf>
    <xf numFmtId="164" fontId="3" fillId="2" borderId="5" xfId="0" applyNumberFormat="1" applyFont="1" applyFill="1" applyBorder="1" applyAlignment="1">
      <alignment horizontal="center"/>
    </xf>
    <xf numFmtId="0" fontId="0" fillId="3" borderId="6" xfId="0" applyFill="1" applyBorder="1" applyAlignment="1">
      <alignment horizontal="center"/>
    </xf>
    <xf numFmtId="164" fontId="3" fillId="2" borderId="7" xfId="0" applyNumberFormat="1" applyFont="1" applyFill="1" applyBorder="1" applyAlignment="1">
      <alignment horizontal="center"/>
    </xf>
    <xf numFmtId="164" fontId="3" fillId="2" borderId="8" xfId="0" applyNumberFormat="1" applyFont="1"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18" fillId="3" borderId="0" xfId="0" applyFont="1" applyFill="1"/>
    <xf numFmtId="10" fontId="0" fillId="3" borderId="27" xfId="1" applyNumberFormat="1" applyFont="1" applyFill="1" applyBorder="1" applyAlignment="1">
      <alignment horizontal="center"/>
    </xf>
    <xf numFmtId="9" fontId="0" fillId="3" borderId="27" xfId="1" applyFont="1" applyFill="1" applyBorder="1" applyAlignment="1">
      <alignment horizontal="center"/>
    </xf>
    <xf numFmtId="10" fontId="0" fillId="3" borderId="28" xfId="1" applyNumberFormat="1" applyFont="1" applyFill="1" applyBorder="1" applyAlignment="1">
      <alignment horizontal="center"/>
    </xf>
    <xf numFmtId="9" fontId="0" fillId="3" borderId="28" xfId="0" applyNumberFormat="1" applyFill="1" applyBorder="1" applyAlignment="1">
      <alignment horizontal="center"/>
    </xf>
    <xf numFmtId="9" fontId="0" fillId="3" borderId="28" xfId="1" applyFont="1" applyFill="1" applyBorder="1" applyAlignment="1">
      <alignment horizontal="center"/>
    </xf>
    <xf numFmtId="10" fontId="0" fillId="3" borderId="10" xfId="1" applyNumberFormat="1" applyFont="1" applyFill="1" applyBorder="1" applyAlignment="1">
      <alignment horizontal="center"/>
    </xf>
    <xf numFmtId="0" fontId="0" fillId="3" borderId="1" xfId="0" applyFill="1" applyBorder="1" applyAlignment="1">
      <alignment horizontal="center"/>
    </xf>
    <xf numFmtId="164" fontId="3" fillId="2" borderId="2" xfId="0" applyNumberFormat="1" applyFont="1" applyFill="1" applyBorder="1" applyAlignment="1">
      <alignment horizontal="center"/>
    </xf>
    <xf numFmtId="164" fontId="3" fillId="2" borderId="3" xfId="0" applyNumberFormat="1" applyFont="1" applyFill="1" applyBorder="1" applyAlignment="1">
      <alignment horizontal="center"/>
    </xf>
    <xf numFmtId="2" fontId="0" fillId="3" borderId="3" xfId="0" applyNumberFormat="1" applyFill="1" applyBorder="1" applyAlignment="1">
      <alignment horizontal="center"/>
    </xf>
    <xf numFmtId="2" fontId="0" fillId="3" borderId="5" xfId="0" applyNumberFormat="1" applyFill="1" applyBorder="1" applyAlignment="1">
      <alignment horizontal="center"/>
    </xf>
    <xf numFmtId="2" fontId="0" fillId="3" borderId="8" xfId="0" applyNumberFormat="1" applyFill="1" applyBorder="1" applyAlignment="1">
      <alignment horizontal="center"/>
    </xf>
    <xf numFmtId="164" fontId="3" fillId="3" borderId="9" xfId="1" applyNumberFormat="1" applyFont="1" applyFill="1" applyBorder="1" applyAlignment="1">
      <alignment horizontal="centerContinuous" vertical="center" wrapText="1"/>
    </xf>
    <xf numFmtId="164" fontId="3" fillId="3" borderId="10" xfId="1" applyNumberFormat="1" applyFont="1" applyFill="1" applyBorder="1" applyAlignment="1">
      <alignment horizontal="centerContinuous" vertical="center" wrapText="1"/>
    </xf>
    <xf numFmtId="0" fontId="0" fillId="0" borderId="0" xfId="0" applyAlignment="1">
      <alignment horizontal="center"/>
    </xf>
    <xf numFmtId="0" fontId="21" fillId="0" borderId="17" xfId="0" applyFont="1" applyBorder="1" applyAlignment="1">
      <alignment vertical="center" wrapText="1"/>
    </xf>
    <xf numFmtId="0" fontId="21" fillId="0" borderId="17" xfId="0" applyFont="1" applyBorder="1" applyAlignment="1">
      <alignment horizontal="center" vertical="center" wrapText="1"/>
    </xf>
    <xf numFmtId="9" fontId="21" fillId="0" borderId="0" xfId="0" applyNumberFormat="1" applyFont="1" applyAlignment="1">
      <alignment horizontal="center" vertical="center" wrapText="1"/>
    </xf>
    <xf numFmtId="0" fontId="0" fillId="0" borderId="0" xfId="0" applyAlignment="1">
      <alignment horizontal="left" wrapText="1"/>
    </xf>
    <xf numFmtId="0" fontId="0" fillId="0" borderId="12" xfId="0" applyBorder="1" applyAlignment="1">
      <alignment wrapText="1"/>
    </xf>
    <xf numFmtId="0" fontId="22" fillId="0" borderId="21" xfId="0" applyFont="1" applyBorder="1" applyAlignment="1">
      <alignment horizontal="center" vertical="center" wrapText="1"/>
    </xf>
    <xf numFmtId="0" fontId="22" fillId="7" borderId="21" xfId="0" applyFont="1" applyFill="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22" fillId="0" borderId="21" xfId="0" applyFont="1" applyBorder="1" applyAlignment="1">
      <alignment vertical="center" wrapText="1"/>
    </xf>
    <xf numFmtId="0" fontId="21" fillId="0" borderId="32" xfId="0" applyFont="1" applyBorder="1" applyAlignment="1">
      <alignment vertical="center" wrapText="1"/>
    </xf>
    <xf numFmtId="0" fontId="21" fillId="0" borderId="32" xfId="0" applyFont="1" applyBorder="1" applyAlignment="1">
      <alignment horizontal="center" vertical="center" wrapText="1"/>
    </xf>
    <xf numFmtId="0" fontId="0" fillId="8" borderId="19" xfId="0" applyFill="1" applyBorder="1" applyAlignment="1">
      <alignment horizontal="center" textRotation="90" wrapText="1"/>
    </xf>
    <xf numFmtId="165" fontId="0" fillId="8" borderId="0" xfId="0" applyNumberFormat="1" applyFill="1"/>
    <xf numFmtId="167" fontId="0" fillId="8" borderId="0" xfId="1" applyNumberFormat="1" applyFont="1" applyFill="1" applyBorder="1" applyAlignment="1">
      <alignment horizontal="center"/>
    </xf>
    <xf numFmtId="166" fontId="0" fillId="8" borderId="0" xfId="1" applyNumberFormat="1" applyFont="1" applyFill="1" applyBorder="1" applyAlignment="1">
      <alignment horizontal="center"/>
    </xf>
    <xf numFmtId="0" fontId="0" fillId="8" borderId="0" xfId="0" applyFill="1"/>
    <xf numFmtId="10" fontId="0" fillId="8" borderId="0" xfId="1" applyNumberFormat="1" applyFont="1" applyFill="1" applyBorder="1" applyAlignment="1">
      <alignment horizontal="center"/>
    </xf>
    <xf numFmtId="10" fontId="0" fillId="8" borderId="7" xfId="1" applyNumberFormat="1" applyFont="1" applyFill="1" applyBorder="1" applyAlignment="1">
      <alignment horizontal="center"/>
    </xf>
    <xf numFmtId="0" fontId="3" fillId="8" borderId="19" xfId="0" applyFont="1" applyFill="1" applyBorder="1" applyAlignment="1">
      <alignment horizontal="center"/>
    </xf>
    <xf numFmtId="9" fontId="21" fillId="0" borderId="0" xfId="0" applyNumberFormat="1" applyFont="1" applyAlignment="1">
      <alignment horizontal="right" vertical="center" wrapText="1"/>
    </xf>
    <xf numFmtId="9" fontId="0" fillId="0" borderId="0" xfId="0" applyNumberFormat="1" applyAlignment="1">
      <alignment horizontal="right"/>
    </xf>
    <xf numFmtId="0" fontId="18" fillId="3" borderId="9" xfId="0" applyFont="1" applyFill="1" applyBorder="1" applyAlignment="1">
      <alignment horizontal="center"/>
    </xf>
    <xf numFmtId="0" fontId="18" fillId="3" borderId="19" xfId="0" applyFont="1" applyFill="1" applyBorder="1" applyAlignment="1">
      <alignment horizontal="center"/>
    </xf>
    <xf numFmtId="0" fontId="18" fillId="3" borderId="10" xfId="0" applyFont="1" applyFill="1" applyBorder="1" applyAlignment="1">
      <alignment horizontal="center"/>
    </xf>
    <xf numFmtId="14" fontId="3" fillId="3" borderId="9" xfId="0" applyNumberFormat="1" applyFont="1" applyFill="1" applyBorder="1" applyAlignment="1">
      <alignment horizontal="center" vertical="center" wrapText="1"/>
    </xf>
    <xf numFmtId="14" fontId="3" fillId="3" borderId="19" xfId="0" applyNumberFormat="1" applyFont="1" applyFill="1" applyBorder="1" applyAlignment="1">
      <alignment horizontal="center" vertical="center" wrapText="1"/>
    </xf>
    <xf numFmtId="14" fontId="3" fillId="3" borderId="10" xfId="0" applyNumberFormat="1" applyFont="1" applyFill="1" applyBorder="1" applyAlignment="1">
      <alignment horizontal="center" vertical="center" wrapText="1"/>
    </xf>
    <xf numFmtId="14" fontId="3" fillId="0" borderId="9" xfId="0" applyNumberFormat="1" applyFont="1" applyBorder="1" applyAlignment="1">
      <alignment horizontal="center" vertical="center" wrapText="1"/>
    </xf>
    <xf numFmtId="14" fontId="3" fillId="0" borderId="19" xfId="0" applyNumberFormat="1" applyFont="1" applyBorder="1" applyAlignment="1">
      <alignment horizontal="center" vertical="center" wrapText="1"/>
    </xf>
    <xf numFmtId="14" fontId="3" fillId="0" borderId="10" xfId="0" applyNumberFormat="1" applyFont="1" applyBorder="1" applyAlignment="1">
      <alignment horizontal="center" vertical="center" wrapText="1"/>
    </xf>
    <xf numFmtId="0" fontId="0" fillId="0" borderId="7" xfId="0" applyBorder="1" applyAlignment="1">
      <alignment horizontal="center"/>
    </xf>
    <xf numFmtId="0" fontId="22" fillId="7" borderId="9" xfId="0" applyFont="1" applyFill="1" applyBorder="1" applyAlignment="1">
      <alignment horizontal="center" vertical="center" wrapText="1"/>
    </xf>
    <xf numFmtId="0" fontId="22" fillId="7" borderId="10" xfId="0" applyFont="1" applyFill="1" applyBorder="1" applyAlignment="1">
      <alignment horizontal="center" vertical="center" wrapText="1"/>
    </xf>
    <xf numFmtId="0" fontId="22" fillId="0" borderId="9" xfId="0" applyFont="1" applyBorder="1" applyAlignment="1">
      <alignment horizontal="center" vertical="center" wrapText="1"/>
    </xf>
    <xf numFmtId="0" fontId="22" fillId="0" borderId="10" xfId="0" applyFont="1" applyBorder="1" applyAlignment="1">
      <alignment horizontal="center" vertical="center" wrapText="1"/>
    </xf>
    <xf numFmtId="0" fontId="0" fillId="3" borderId="0" xfId="0" applyFill="1" applyAlignment="1">
      <alignment horizontal="left" vertical="top" wrapText="1"/>
    </xf>
  </cellXfs>
  <cellStyles count="3">
    <cellStyle name="Normal" xfId="0" builtinId="0"/>
    <cellStyle name="Normal 2 10 2 2" xfId="2" xr:uid="{00000000-0005-0000-0000-000001000000}"/>
    <cellStyle name="Per cent" xfId="1" builtinId="5"/>
  </cellStyles>
  <dxfs count="0"/>
  <tableStyles count="0" defaultTableStyle="TableStyleMedium2" defaultPivotStyle="PivotStyleLight16"/>
  <colors>
    <mruColors>
      <color rgb="FFF8CBAD"/>
      <color rgb="FFF8AD6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a:pPr>
            <a:r>
              <a:rPr lang="en-US" sz="1600" b="0"/>
              <a:t>Weights Across</a:t>
            </a:r>
            <a:r>
              <a:rPr lang="en-US" sz="1600" b="0" baseline="0"/>
              <a:t> the Frontier</a:t>
            </a:r>
            <a:endParaRPr lang="en-US" sz="1600" b="0"/>
          </a:p>
        </c:rich>
      </c:tx>
      <c:overlay val="0"/>
    </c:title>
    <c:autoTitleDeleted val="0"/>
    <c:view3D>
      <c:rotX val="15"/>
      <c:rotY val="20"/>
      <c:rAngAx val="0"/>
    </c:view3D>
    <c:floor>
      <c:thickness val="0"/>
    </c:floor>
    <c:sideWall>
      <c:thickness val="0"/>
    </c:sideWall>
    <c:backWall>
      <c:thickness val="0"/>
    </c:backWall>
    <c:plotArea>
      <c:layout>
        <c:manualLayout>
          <c:layoutTarget val="inner"/>
          <c:xMode val="edge"/>
          <c:yMode val="edge"/>
          <c:x val="6.719080206717068E-2"/>
          <c:y val="0.19615186738842028"/>
          <c:w val="0.79363211328735861"/>
          <c:h val="0.65326433855842714"/>
        </c:manualLayout>
      </c:layout>
      <c:bar3DChart>
        <c:barDir val="col"/>
        <c:grouping val="stacked"/>
        <c:varyColors val="0"/>
        <c:ser>
          <c:idx val="0"/>
          <c:order val="0"/>
          <c:tx>
            <c:strRef>
              <c:f>'Portfolio Optimisation'!$K$31</c:f>
              <c:strCache>
                <c:ptCount val="1"/>
                <c:pt idx="0">
                  <c:v>AEQ</c:v>
                </c:pt>
              </c:strCache>
            </c:strRef>
          </c:tx>
          <c:spPr>
            <a:solidFill>
              <a:srgbClr val="7030A0"/>
            </a:solidFill>
          </c:spPr>
          <c:invertIfNegative val="0"/>
          <c:val>
            <c:numRef>
              <c:f>'Portfolio Optimisation'!$L$31:$W$31</c:f>
              <c:numCache>
                <c:formatCode>0.0%</c:formatCode>
                <c:ptCount val="12"/>
                <c:pt idx="0">
                  <c:v>0.1</c:v>
                </c:pt>
                <c:pt idx="1">
                  <c:v>0.1</c:v>
                </c:pt>
                <c:pt idx="2">
                  <c:v>0.1</c:v>
                </c:pt>
                <c:pt idx="3">
                  <c:v>0.1</c:v>
                </c:pt>
                <c:pt idx="4">
                  <c:v>0.1</c:v>
                </c:pt>
                <c:pt idx="5">
                  <c:v>0.1</c:v>
                </c:pt>
                <c:pt idx="6">
                  <c:v>0.1</c:v>
                </c:pt>
                <c:pt idx="7">
                  <c:v>0.10574451467003598</c:v>
                </c:pt>
                <c:pt idx="8">
                  <c:v>0.22763489902633671</c:v>
                </c:pt>
                <c:pt idx="9">
                  <c:v>0.40454545455545521</c:v>
                </c:pt>
                <c:pt idx="10">
                  <c:v>0.45000000000999996</c:v>
                </c:pt>
                <c:pt idx="11">
                  <c:v>0.45000000000999996</c:v>
                </c:pt>
              </c:numCache>
            </c:numRef>
          </c:val>
          <c:extLst>
            <c:ext xmlns:c16="http://schemas.microsoft.com/office/drawing/2014/chart" uri="{C3380CC4-5D6E-409C-BE32-E72D297353CC}">
              <c16:uniqueId val="{00000000-C70A-4F1D-A742-4ABE3094BFF1}"/>
            </c:ext>
          </c:extLst>
        </c:ser>
        <c:ser>
          <c:idx val="1"/>
          <c:order val="1"/>
          <c:tx>
            <c:strRef>
              <c:f>'Portfolio Optimisation'!$K$32</c:f>
              <c:strCache>
                <c:ptCount val="1"/>
                <c:pt idx="0">
                  <c:v>ILE</c:v>
                </c:pt>
              </c:strCache>
            </c:strRef>
          </c:tx>
          <c:invertIfNegative val="0"/>
          <c:val>
            <c:numRef>
              <c:f>'Portfolio Optimisation'!$L$32:$W$32</c:f>
              <c:numCache>
                <c:formatCode>0.0%</c:formatCode>
                <c:ptCount val="12"/>
                <c:pt idx="0">
                  <c:v>0.1</c:v>
                </c:pt>
                <c:pt idx="1">
                  <c:v>0.1</c:v>
                </c:pt>
                <c:pt idx="2">
                  <c:v>0.1</c:v>
                </c:pt>
                <c:pt idx="3">
                  <c:v>0.1</c:v>
                </c:pt>
                <c:pt idx="4">
                  <c:v>0.15163668370117997</c:v>
                </c:pt>
                <c:pt idx="5">
                  <c:v>0.23102202391433166</c:v>
                </c:pt>
                <c:pt idx="6">
                  <c:v>0.32793375821339615</c:v>
                </c:pt>
                <c:pt idx="7">
                  <c:v>0.42461747061784205</c:v>
                </c:pt>
                <c:pt idx="8">
                  <c:v>0.44999999999999996</c:v>
                </c:pt>
                <c:pt idx="9">
                  <c:v>0.44999999999999996</c:v>
                </c:pt>
                <c:pt idx="10">
                  <c:v>0.44999999999999996</c:v>
                </c:pt>
                <c:pt idx="11">
                  <c:v>0.44999999999999996</c:v>
                </c:pt>
              </c:numCache>
            </c:numRef>
          </c:val>
          <c:extLst>
            <c:ext xmlns:c16="http://schemas.microsoft.com/office/drawing/2014/chart" uri="{C3380CC4-5D6E-409C-BE32-E72D297353CC}">
              <c16:uniqueId val="{00000001-C70A-4F1D-A742-4ABE3094BFF1}"/>
            </c:ext>
          </c:extLst>
        </c:ser>
        <c:ser>
          <c:idx val="2"/>
          <c:order val="2"/>
          <c:tx>
            <c:strRef>
              <c:f>'Portfolio Optimisation'!$K$33</c:f>
              <c:strCache>
                <c:ptCount val="1"/>
                <c:pt idx="0">
                  <c:v>ALP</c:v>
                </c:pt>
              </c:strCache>
            </c:strRef>
          </c:tx>
          <c:spPr>
            <a:solidFill>
              <a:schemeClr val="accent6">
                <a:lumMod val="75000"/>
              </a:schemeClr>
            </a:solidFill>
          </c:spPr>
          <c:invertIfNegative val="0"/>
          <c:val>
            <c:numRef>
              <c:f>'Portfolio Optimisation'!$L$33:$W$33</c:f>
              <c:numCache>
                <c:formatCode>0.0%</c:formatCode>
                <c:ptCount val="12"/>
                <c:pt idx="0">
                  <c:v>4.9999000000033406E-2</c:v>
                </c:pt>
                <c:pt idx="1">
                  <c:v>4.9999000000000071E-2</c:v>
                </c:pt>
                <c:pt idx="2">
                  <c:v>4.999900000000003E-2</c:v>
                </c:pt>
                <c:pt idx="3">
                  <c:v>4.999900000000003E-2</c:v>
                </c:pt>
                <c:pt idx="4">
                  <c:v>3.0179498117072375E-2</c:v>
                </c:pt>
                <c:pt idx="5">
                  <c:v>3.6130226815066224E-2</c:v>
                </c:pt>
                <c:pt idx="6">
                  <c:v>2.9944031572629499E-2</c:v>
                </c:pt>
                <c:pt idx="7">
                  <c:v>6.227663165515035E-2</c:v>
                </c:pt>
                <c:pt idx="8">
                  <c:v>7.026092551241718E-2</c:v>
                </c:pt>
                <c:pt idx="9">
                  <c:v>0</c:v>
                </c:pt>
                <c:pt idx="10">
                  <c:v>0</c:v>
                </c:pt>
                <c:pt idx="11">
                  <c:v>0</c:v>
                </c:pt>
              </c:numCache>
            </c:numRef>
          </c:val>
          <c:extLst>
            <c:ext xmlns:c16="http://schemas.microsoft.com/office/drawing/2014/chart" uri="{C3380CC4-5D6E-409C-BE32-E72D297353CC}">
              <c16:uniqueId val="{00000002-C70A-4F1D-A742-4ABE3094BFF1}"/>
            </c:ext>
          </c:extLst>
        </c:ser>
        <c:ser>
          <c:idx val="3"/>
          <c:order val="3"/>
          <c:tx>
            <c:strRef>
              <c:f>'Portfolio Optimisation'!$K$36</c:f>
              <c:strCache>
                <c:ptCount val="1"/>
                <c:pt idx="0">
                  <c:v>ILP</c:v>
                </c:pt>
              </c:strCache>
            </c:strRef>
          </c:tx>
          <c:invertIfNegative val="0"/>
          <c:val>
            <c:numRef>
              <c:f>'Portfolio Optimisation'!$L$36:$W$36</c:f>
              <c:numCache>
                <c:formatCode>0.0%</c:formatCode>
                <c:ptCount val="12"/>
                <c:pt idx="0">
                  <c:v>0</c:v>
                </c:pt>
                <c:pt idx="1">
                  <c:v>0</c:v>
                </c:pt>
                <c:pt idx="2">
                  <c:v>0</c:v>
                </c:pt>
                <c:pt idx="3">
                  <c:v>0</c:v>
                </c:pt>
                <c:pt idx="4">
                  <c:v>9.9999999999999995E-7</c:v>
                </c:pt>
                <c:pt idx="5">
                  <c:v>9.9999999999999995E-7</c:v>
                </c:pt>
                <c:pt idx="6">
                  <c:v>9.9999999999999995E-7</c:v>
                </c:pt>
                <c:pt idx="7">
                  <c:v>9.9999999999999995E-7</c:v>
                </c:pt>
                <c:pt idx="8">
                  <c:v>1.0000000000000002E-6</c:v>
                </c:pt>
                <c:pt idx="9">
                  <c:v>-9.9999999999583996E-12</c:v>
                </c:pt>
                <c:pt idx="10">
                  <c:v>-9.9999999999583996E-12</c:v>
                </c:pt>
                <c:pt idx="11">
                  <c:v>-9.9999999999583996E-12</c:v>
                </c:pt>
              </c:numCache>
            </c:numRef>
          </c:val>
          <c:extLst xmlns:c15="http://schemas.microsoft.com/office/drawing/2012/chart">
            <c:ext xmlns:c16="http://schemas.microsoft.com/office/drawing/2014/chart" uri="{C3380CC4-5D6E-409C-BE32-E72D297353CC}">
              <c16:uniqueId val="{00000004-1583-4977-BC51-BEDB718DB355}"/>
            </c:ext>
          </c:extLst>
        </c:ser>
        <c:ser>
          <c:idx val="4"/>
          <c:order val="4"/>
          <c:tx>
            <c:strRef>
              <c:f>'Portfolio Optimisation'!$K$37</c:f>
              <c:strCache>
                <c:ptCount val="1"/>
                <c:pt idx="0">
                  <c:v>ILI</c:v>
                </c:pt>
              </c:strCache>
            </c:strRef>
          </c:tx>
          <c:invertIfNegative val="0"/>
          <c:val>
            <c:numRef>
              <c:f>'Portfolio Optimisation'!$L$37:$W$37</c:f>
              <c:numCache>
                <c:formatCode>0.0%</c:formatCode>
                <c:ptCount val="12"/>
                <c:pt idx="0">
                  <c:v>9.9999999999999995E-7</c:v>
                </c:pt>
                <c:pt idx="1">
                  <c:v>9.9999999999999995E-7</c:v>
                </c:pt>
                <c:pt idx="2">
                  <c:v>9.9999999999999995E-7</c:v>
                </c:pt>
                <c:pt idx="3">
                  <c:v>9.9999999999999995E-7</c:v>
                </c:pt>
                <c:pt idx="4">
                  <c:v>9.9999999999999995E-7</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1583-4977-BC51-BEDB718DB355}"/>
            </c:ext>
          </c:extLst>
        </c:ser>
        <c:ser>
          <c:idx val="5"/>
          <c:order val="5"/>
          <c:tx>
            <c:strRef>
              <c:f>'Portfolio Optimisation'!$K$34</c:f>
              <c:strCache>
                <c:ptCount val="1"/>
                <c:pt idx="0">
                  <c:v>AFI</c:v>
                </c:pt>
              </c:strCache>
            </c:strRef>
          </c:tx>
          <c:invertIfNegative val="0"/>
          <c:val>
            <c:numRef>
              <c:f>'Portfolio Optimisation'!$L$34:$W$34</c:f>
              <c:numCache>
                <c:formatCode>0.0%</c:formatCode>
                <c:ptCount val="12"/>
                <c:pt idx="0">
                  <c:v>0.3</c:v>
                </c:pt>
                <c:pt idx="1">
                  <c:v>0.3</c:v>
                </c:pt>
                <c:pt idx="2">
                  <c:v>0.3</c:v>
                </c:pt>
                <c:pt idx="3">
                  <c:v>0.3</c:v>
                </c:pt>
                <c:pt idx="4">
                  <c:v>0.29999999983542702</c:v>
                </c:pt>
                <c:pt idx="5">
                  <c:v>0.3</c:v>
                </c:pt>
                <c:pt idx="6">
                  <c:v>0.3</c:v>
                </c:pt>
                <c:pt idx="7">
                  <c:v>0.3</c:v>
                </c:pt>
                <c:pt idx="8">
                  <c:v>0.2021031754612474</c:v>
                </c:pt>
                <c:pt idx="9">
                  <c:v>9.5454545454544834E-2</c:v>
                </c:pt>
                <c:pt idx="10">
                  <c:v>0.05</c:v>
                </c:pt>
                <c:pt idx="11">
                  <c:v>0.05</c:v>
                </c:pt>
              </c:numCache>
            </c:numRef>
          </c:val>
          <c:extLst>
            <c:ext xmlns:c16="http://schemas.microsoft.com/office/drawing/2014/chart" uri="{C3380CC4-5D6E-409C-BE32-E72D297353CC}">
              <c16:uniqueId val="{00000006-1583-4977-BC51-BEDB718DB355}"/>
            </c:ext>
          </c:extLst>
        </c:ser>
        <c:ser>
          <c:idx val="6"/>
          <c:order val="6"/>
          <c:tx>
            <c:strRef>
              <c:f>'Portfolio Optimisation'!$K$35</c:f>
              <c:strCache>
                <c:ptCount val="1"/>
                <c:pt idx="0">
                  <c:v>IFI</c:v>
                </c:pt>
              </c:strCache>
            </c:strRef>
          </c:tx>
          <c:invertIfNegative val="0"/>
          <c:val>
            <c:numRef>
              <c:f>'Portfolio Optimisation'!$L$35:$W$35</c:f>
              <c:numCache>
                <c:formatCode>0.0%</c:formatCode>
                <c:ptCount val="12"/>
                <c:pt idx="0">
                  <c:v>0.2</c:v>
                </c:pt>
                <c:pt idx="1">
                  <c:v>0.2</c:v>
                </c:pt>
                <c:pt idx="2">
                  <c:v>0.2</c:v>
                </c:pt>
                <c:pt idx="3">
                  <c:v>0.2</c:v>
                </c:pt>
                <c:pt idx="4">
                  <c:v>0.1681818223303958</c:v>
                </c:pt>
                <c:pt idx="5">
                  <c:v>0.2</c:v>
                </c:pt>
                <c:pt idx="6">
                  <c:v>0.19212121021397441</c:v>
                </c:pt>
                <c:pt idx="7">
                  <c:v>5.736038305707037E-2</c:v>
                </c:pt>
                <c:pt idx="8">
                  <c:v>0</c:v>
                </c:pt>
                <c:pt idx="9">
                  <c:v>0</c:v>
                </c:pt>
                <c:pt idx="10">
                  <c:v>0</c:v>
                </c:pt>
                <c:pt idx="11">
                  <c:v>0</c:v>
                </c:pt>
              </c:numCache>
            </c:numRef>
          </c:val>
          <c:extLst>
            <c:ext xmlns:c16="http://schemas.microsoft.com/office/drawing/2014/chart" uri="{C3380CC4-5D6E-409C-BE32-E72D297353CC}">
              <c16:uniqueId val="{00000007-1583-4977-BC51-BEDB718DB355}"/>
            </c:ext>
          </c:extLst>
        </c:ser>
        <c:ser>
          <c:idx val="7"/>
          <c:order val="7"/>
          <c:tx>
            <c:strRef>
              <c:f>'Portfolio Optimisation'!$K$38</c:f>
              <c:strCache>
                <c:ptCount val="1"/>
                <c:pt idx="0">
                  <c:v>CASH</c:v>
                </c:pt>
              </c:strCache>
            </c:strRef>
          </c:tx>
          <c:invertIfNegative val="0"/>
          <c:val>
            <c:numRef>
              <c:f>'Portfolio Optimisation'!$L$38:$W$38</c:f>
              <c:numCache>
                <c:formatCode>0.0%</c:formatCode>
                <c:ptCount val="12"/>
                <c:pt idx="0">
                  <c:v>0.24999999999996658</c:v>
                </c:pt>
                <c:pt idx="1">
                  <c:v>0.24999999999999989</c:v>
                </c:pt>
                <c:pt idx="2">
                  <c:v>0.24999999999999989</c:v>
                </c:pt>
                <c:pt idx="3">
                  <c:v>0.24999999999999989</c:v>
                </c:pt>
                <c:pt idx="4">
                  <c:v>0.24999999601592482</c:v>
                </c:pt>
                <c:pt idx="5">
                  <c:v>0.13284674927060214</c:v>
                </c:pt>
                <c:pt idx="6">
                  <c:v>4.9999999999999933E-2</c:v>
                </c:pt>
                <c:pt idx="7">
                  <c:v>4.9999999999901124E-2</c:v>
                </c:pt>
                <c:pt idx="8">
                  <c:v>4.9999999999998823E-2</c:v>
                </c:pt>
                <c:pt idx="9">
                  <c:v>5.0000000000000044E-2</c:v>
                </c:pt>
                <c:pt idx="10">
                  <c:v>5.0000000000000044E-2</c:v>
                </c:pt>
                <c:pt idx="11">
                  <c:v>5.0000000000000044E-2</c:v>
                </c:pt>
              </c:numCache>
            </c:numRef>
          </c:val>
          <c:extLst>
            <c:ext xmlns:c16="http://schemas.microsoft.com/office/drawing/2014/chart" uri="{C3380CC4-5D6E-409C-BE32-E72D297353CC}">
              <c16:uniqueId val="{00000000-F60B-4457-81F3-DAC31CDE4750}"/>
            </c:ext>
          </c:extLst>
        </c:ser>
        <c:dLbls>
          <c:showLegendKey val="0"/>
          <c:showVal val="0"/>
          <c:showCatName val="0"/>
          <c:showSerName val="0"/>
          <c:showPercent val="0"/>
          <c:showBubbleSize val="0"/>
        </c:dLbls>
        <c:gapWidth val="55"/>
        <c:gapDepth val="55"/>
        <c:shape val="box"/>
        <c:axId val="796938488"/>
        <c:axId val="796936528"/>
        <c:axId val="0"/>
        <c:extLst/>
      </c:bar3DChart>
      <c:catAx>
        <c:axId val="796938488"/>
        <c:scaling>
          <c:orientation val="minMax"/>
        </c:scaling>
        <c:delete val="0"/>
        <c:axPos val="b"/>
        <c:majorTickMark val="none"/>
        <c:minorTickMark val="none"/>
        <c:tickLblPos val="nextTo"/>
        <c:crossAx val="796936528"/>
        <c:crosses val="autoZero"/>
        <c:auto val="1"/>
        <c:lblAlgn val="ctr"/>
        <c:lblOffset val="100"/>
        <c:noMultiLvlLbl val="0"/>
      </c:catAx>
      <c:valAx>
        <c:axId val="796936528"/>
        <c:scaling>
          <c:orientation val="minMax"/>
          <c:max val="1"/>
          <c:min val="0"/>
        </c:scaling>
        <c:delete val="0"/>
        <c:axPos val="l"/>
        <c:majorGridlines/>
        <c:numFmt formatCode="0.0" sourceLinked="0"/>
        <c:majorTickMark val="none"/>
        <c:minorTickMark val="none"/>
        <c:tickLblPos val="nextTo"/>
        <c:crossAx val="796938488"/>
        <c:crosses val="autoZero"/>
        <c:crossBetween val="between"/>
        <c:majorUnit val="0.2"/>
      </c:valAx>
    </c:plotArea>
    <c:legend>
      <c:legendPos val="r"/>
      <c:overlay val="0"/>
    </c:legend>
    <c:plotVisOnly val="1"/>
    <c:dispBlanksAs val="gap"/>
    <c:showDLblsOverMax val="0"/>
  </c:chart>
  <c:spPr>
    <a:ln>
      <a:solidFill>
        <a:schemeClr val="accent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a:pPr>
            <a:r>
              <a:rPr lang="en-US" sz="1600" b="0"/>
              <a:t>Constrained</a:t>
            </a:r>
            <a:r>
              <a:rPr lang="en-US" sz="1600" b="0" baseline="0"/>
              <a:t> </a:t>
            </a:r>
            <a:r>
              <a:rPr lang="en-US" sz="1600" b="0"/>
              <a:t>Efficent Frontier and Opportunity</a:t>
            </a:r>
            <a:r>
              <a:rPr lang="en-US" sz="1600" b="0" baseline="0"/>
              <a:t> Set</a:t>
            </a:r>
          </a:p>
        </c:rich>
      </c:tx>
      <c:layout>
        <c:manualLayout>
          <c:xMode val="edge"/>
          <c:yMode val="edge"/>
          <c:x val="0.19282320661437422"/>
          <c:y val="3.4897931289547103E-3"/>
        </c:manualLayout>
      </c:layout>
      <c:overlay val="0"/>
    </c:title>
    <c:autoTitleDeleted val="0"/>
    <c:plotArea>
      <c:layout>
        <c:manualLayout>
          <c:layoutTarget val="inner"/>
          <c:xMode val="edge"/>
          <c:yMode val="edge"/>
          <c:x val="9.0823339108583895E-2"/>
          <c:y val="0.11338843988810351"/>
          <c:w val="0.74731856670999941"/>
          <c:h val="0.74802976541261257"/>
        </c:manualLayout>
      </c:layout>
      <c:scatterChart>
        <c:scatterStyle val="smoothMarker"/>
        <c:varyColors val="0"/>
        <c:ser>
          <c:idx val="0"/>
          <c:order val="0"/>
          <c:tx>
            <c:v>Frontier</c:v>
          </c:tx>
          <c:marker>
            <c:symbol val="circle"/>
            <c:size val="4"/>
            <c:spPr>
              <a:ln>
                <a:noFill/>
              </a:ln>
            </c:spPr>
          </c:marker>
          <c:dLbls>
            <c:dLbl>
              <c:idx val="0"/>
              <c:tx>
                <c:rich>
                  <a:bodyPr/>
                  <a:lstStyle/>
                  <a:p>
                    <a:fld id="{9B516130-7E9E-5F42-BE3A-8ED9B04A91F1}"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CC2-410B-8F4E-A2E8459DD571}"/>
                </c:ext>
              </c:extLst>
            </c:dLbl>
            <c:dLbl>
              <c:idx val="1"/>
              <c:tx>
                <c:rich>
                  <a:bodyPr/>
                  <a:lstStyle/>
                  <a:p>
                    <a:fld id="{7EDC95C6-EC91-664E-B8CB-19B6C7FF9C06}"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220-4858-A362-3568FC591CB9}"/>
                </c:ext>
              </c:extLst>
            </c:dLbl>
            <c:dLbl>
              <c:idx val="2"/>
              <c:tx>
                <c:rich>
                  <a:bodyPr/>
                  <a:lstStyle/>
                  <a:p>
                    <a:fld id="{2EE0C4F6-7C09-5F4E-8EE6-E992F424AEEA}"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73B-4DC0-879C-80FE9CF40125}"/>
                </c:ext>
              </c:extLst>
            </c:dLbl>
            <c:dLbl>
              <c:idx val="3"/>
              <c:tx>
                <c:rich>
                  <a:bodyPr/>
                  <a:lstStyle/>
                  <a:p>
                    <a:fld id="{CF036939-092F-DD4F-9896-C594B3ABF72D}"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73B-4DC0-879C-80FE9CF40125}"/>
                </c:ext>
              </c:extLst>
            </c:dLbl>
            <c:dLbl>
              <c:idx val="4"/>
              <c:tx>
                <c:rich>
                  <a:bodyPr/>
                  <a:lstStyle/>
                  <a:p>
                    <a:fld id="{6FDF9BA2-B311-CD43-B2A6-F4228EC671E3}"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73B-4DC0-879C-80FE9CF40125}"/>
                </c:ext>
              </c:extLst>
            </c:dLbl>
            <c:dLbl>
              <c:idx val="5"/>
              <c:tx>
                <c:rich>
                  <a:bodyPr/>
                  <a:lstStyle/>
                  <a:p>
                    <a:fld id="{E4ED5439-FF87-494A-A574-83BA6C916C55}"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73B-4DC0-879C-80FE9CF40125}"/>
                </c:ext>
              </c:extLst>
            </c:dLbl>
            <c:dLbl>
              <c:idx val="6"/>
              <c:tx>
                <c:rich>
                  <a:bodyPr/>
                  <a:lstStyle/>
                  <a:p>
                    <a:fld id="{690BB0E3-8C73-CE4B-8000-692ACCD9C775}"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73B-4DC0-879C-80FE9CF40125}"/>
                </c:ext>
              </c:extLst>
            </c:dLbl>
            <c:dLbl>
              <c:idx val="7"/>
              <c:tx>
                <c:rich>
                  <a:bodyPr/>
                  <a:lstStyle/>
                  <a:p>
                    <a:fld id="{CA158F34-ED73-9247-AB81-99FBA9B9F4C8}"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73B-4DC0-879C-80FE9CF40125}"/>
                </c:ext>
              </c:extLst>
            </c:dLbl>
            <c:dLbl>
              <c:idx val="8"/>
              <c:tx>
                <c:rich>
                  <a:bodyPr/>
                  <a:lstStyle/>
                  <a:p>
                    <a:fld id="{EC427598-7CD4-7641-A823-EE4573FE15F1}"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73B-4DC0-879C-80FE9CF40125}"/>
                </c:ext>
              </c:extLst>
            </c:dLbl>
            <c:dLbl>
              <c:idx val="9"/>
              <c:tx>
                <c:rich>
                  <a:bodyPr/>
                  <a:lstStyle/>
                  <a:p>
                    <a:fld id="{828E2277-4A31-6D4E-B432-8C3D0FCF469B}"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73B-4DC0-879C-80FE9CF40125}"/>
                </c:ext>
              </c:extLst>
            </c:dLbl>
            <c:dLbl>
              <c:idx val="10"/>
              <c:tx>
                <c:rich>
                  <a:bodyPr/>
                  <a:lstStyle/>
                  <a:p>
                    <a:fld id="{FE94269D-0041-F448-8419-CCB65E847151}"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73B-4DC0-879C-80FE9CF40125}"/>
                </c:ext>
              </c:extLst>
            </c:dLbl>
            <c:dLbl>
              <c:idx val="11"/>
              <c:tx>
                <c:rich>
                  <a:bodyPr/>
                  <a:lstStyle/>
                  <a:p>
                    <a:fld id="{7BF7CD6D-D6DF-004B-BC4E-B0E12D66D9A7}"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73B-4DC0-879C-80FE9CF40125}"/>
                </c:ext>
              </c:extLst>
            </c:dLbl>
            <c:spPr>
              <a:noFill/>
              <a:ln>
                <a:noFill/>
              </a:ln>
              <a:effectLst/>
            </c:spPr>
            <c:txPr>
              <a:bodyPr/>
              <a:lstStyle/>
              <a:p>
                <a:pPr>
                  <a:defRPr sz="14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1">
                    <a:avLst/>
                  </a:prstGeom>
                </c15:spPr>
                <c15:showDataLabelsRange val="1"/>
                <c15:showLeaderLines val="1"/>
              </c:ext>
            </c:extLst>
          </c:dLbls>
          <c:xVal>
            <c:numRef>
              <c:f>'Portfolio Optimisation'!$L$28:$W$28</c:f>
              <c:numCache>
                <c:formatCode>0.0%</c:formatCode>
                <c:ptCount val="12"/>
                <c:pt idx="0">
                  <c:v>3.5925759281272604E-2</c:v>
                </c:pt>
                <c:pt idx="1">
                  <c:v>3.5925759281268836E-2</c:v>
                </c:pt>
                <c:pt idx="2">
                  <c:v>3.5925759281268829E-2</c:v>
                </c:pt>
                <c:pt idx="3">
                  <c:v>3.5925759281268829E-2</c:v>
                </c:pt>
                <c:pt idx="4">
                  <c:v>3.9961026755903024E-2</c:v>
                </c:pt>
                <c:pt idx="5">
                  <c:v>5.1858305760570655E-2</c:v>
                </c:pt>
                <c:pt idx="6">
                  <c:v>6.5526654397798659E-2</c:v>
                </c:pt>
                <c:pt idx="7">
                  <c:v>8.3212143373793415E-2</c:v>
                </c:pt>
                <c:pt idx="8">
                  <c:v>0.10205352172475947</c:v>
                </c:pt>
                <c:pt idx="9">
                  <c:v>0.1177021642408427</c:v>
                </c:pt>
                <c:pt idx="10">
                  <c:v>0.12356098665442773</c:v>
                </c:pt>
                <c:pt idx="11">
                  <c:v>0.12356098665442773</c:v>
                </c:pt>
              </c:numCache>
            </c:numRef>
          </c:xVal>
          <c:yVal>
            <c:numRef>
              <c:f>'Portfolio Optimisation'!$L$26:$W$26</c:f>
              <c:numCache>
                <c:formatCode>0.0%</c:formatCode>
                <c:ptCount val="12"/>
                <c:pt idx="0">
                  <c:v>4.6464969507872184E-2</c:v>
                </c:pt>
                <c:pt idx="1">
                  <c:v>4.646496950787074E-2</c:v>
                </c:pt>
                <c:pt idx="2">
                  <c:v>4.646496950787074E-2</c:v>
                </c:pt>
                <c:pt idx="3">
                  <c:v>4.646496950787074E-2</c:v>
                </c:pt>
                <c:pt idx="4">
                  <c:v>4.8454545454546846E-2</c:v>
                </c:pt>
                <c:pt idx="5">
                  <c:v>5.4318181818203748E-2</c:v>
                </c:pt>
                <c:pt idx="6">
                  <c:v>6.0181818181818204E-2</c:v>
                </c:pt>
                <c:pt idx="7">
                  <c:v>6.6045454545467827E-2</c:v>
                </c:pt>
                <c:pt idx="8">
                  <c:v>7.1909090909090853E-2</c:v>
                </c:pt>
                <c:pt idx="9">
                  <c:v>7.633863636366639E-2</c:v>
                </c:pt>
                <c:pt idx="10">
                  <c:v>7.7975000000029993E-2</c:v>
                </c:pt>
                <c:pt idx="11">
                  <c:v>7.7975000000029993E-2</c:v>
                </c:pt>
              </c:numCache>
            </c:numRef>
          </c:yVal>
          <c:smooth val="1"/>
          <c:extLst>
            <c:ext xmlns:c15="http://schemas.microsoft.com/office/drawing/2012/chart" uri="{02D57815-91ED-43cb-92C2-25804820EDAC}">
              <c15:datalabelsRange>
                <c15:f>'Portfolio Optimisation'!$L$21:$W$21</c15:f>
                <c15:dlblRangeCache>
                  <c:ptCount val="12"/>
                  <c:pt idx="0">
                    <c:v>a</c:v>
                  </c:pt>
                  <c:pt idx="1">
                    <c:v>b</c:v>
                  </c:pt>
                  <c:pt idx="2">
                    <c:v>c</c:v>
                  </c:pt>
                  <c:pt idx="3">
                    <c:v>d</c:v>
                  </c:pt>
                  <c:pt idx="4">
                    <c:v>e</c:v>
                  </c:pt>
                  <c:pt idx="5">
                    <c:v>f</c:v>
                  </c:pt>
                  <c:pt idx="6">
                    <c:v>g</c:v>
                  </c:pt>
                  <c:pt idx="7">
                    <c:v>h</c:v>
                  </c:pt>
                  <c:pt idx="8">
                    <c:v>i</c:v>
                  </c:pt>
                  <c:pt idx="9">
                    <c:v>j</c:v>
                  </c:pt>
                  <c:pt idx="10">
                    <c:v>k</c:v>
                  </c:pt>
                  <c:pt idx="11">
                    <c:v>l</c:v>
                  </c:pt>
                </c15:dlblRangeCache>
              </c15:datalabelsRange>
            </c:ext>
            <c:ext xmlns:c16="http://schemas.microsoft.com/office/drawing/2014/chart" uri="{C3380CC4-5D6E-409C-BE32-E72D297353CC}">
              <c16:uniqueId val="{00000000-7684-417A-831D-D2496FD25E94}"/>
            </c:ext>
          </c:extLst>
        </c:ser>
        <c:dLbls>
          <c:showLegendKey val="0"/>
          <c:showVal val="0"/>
          <c:showCatName val="0"/>
          <c:showSerName val="0"/>
          <c:showPercent val="0"/>
          <c:showBubbleSize val="0"/>
        </c:dLbls>
        <c:axId val="796940448"/>
        <c:axId val="796941624"/>
        <c:extLst/>
      </c:scatterChart>
      <c:valAx>
        <c:axId val="796940448"/>
        <c:scaling>
          <c:orientation val="minMax"/>
          <c:max val="0.2"/>
          <c:min val="0"/>
        </c:scaling>
        <c:delete val="0"/>
        <c:axPos val="b"/>
        <c:majorGridlines>
          <c:spPr>
            <a:ln>
              <a:solidFill>
                <a:schemeClr val="bg1">
                  <a:lumMod val="85000"/>
                </a:schemeClr>
              </a:solidFill>
            </a:ln>
          </c:spPr>
        </c:majorGridlines>
        <c:title>
          <c:tx>
            <c:rich>
              <a:bodyPr/>
              <a:lstStyle/>
              <a:p>
                <a:pPr>
                  <a:defRPr/>
                </a:pPr>
                <a:r>
                  <a:rPr lang="en-AU"/>
                  <a:t>Volatility</a:t>
                </a:r>
              </a:p>
            </c:rich>
          </c:tx>
          <c:overlay val="0"/>
        </c:title>
        <c:numFmt formatCode="0.0%" sourceLinked="1"/>
        <c:majorTickMark val="none"/>
        <c:minorTickMark val="none"/>
        <c:tickLblPos val="nextTo"/>
        <c:crossAx val="796941624"/>
        <c:crosses val="autoZero"/>
        <c:crossBetween val="midCat"/>
        <c:majorUnit val="5.000000000000001E-2"/>
        <c:minorUnit val="2.0000000000000004E-2"/>
      </c:valAx>
      <c:valAx>
        <c:axId val="796941624"/>
        <c:scaling>
          <c:orientation val="minMax"/>
        </c:scaling>
        <c:delete val="0"/>
        <c:axPos val="l"/>
        <c:majorGridlines>
          <c:spPr>
            <a:ln>
              <a:solidFill>
                <a:schemeClr val="bg1">
                  <a:lumMod val="85000"/>
                </a:schemeClr>
              </a:solidFill>
            </a:ln>
          </c:spPr>
        </c:majorGridlines>
        <c:title>
          <c:tx>
            <c:rich>
              <a:bodyPr/>
              <a:lstStyle/>
              <a:p>
                <a:pPr>
                  <a:defRPr/>
                </a:pPr>
                <a:r>
                  <a:rPr lang="en-US"/>
                  <a:t>Expected </a:t>
                </a:r>
                <a:r>
                  <a:rPr lang="en-US" baseline="0"/>
                  <a:t> Return</a:t>
                </a:r>
                <a:endParaRPr lang="en-US"/>
              </a:p>
            </c:rich>
          </c:tx>
          <c:overlay val="0"/>
        </c:title>
        <c:numFmt formatCode="0.0%" sourceLinked="1"/>
        <c:majorTickMark val="none"/>
        <c:minorTickMark val="none"/>
        <c:tickLblPos val="nextTo"/>
        <c:crossAx val="796940448"/>
        <c:crosses val="autoZero"/>
        <c:crossBetween val="midCat"/>
      </c:valAx>
    </c:plotArea>
    <c:legend>
      <c:legendPos val="r"/>
      <c:layout>
        <c:manualLayout>
          <c:xMode val="edge"/>
          <c:yMode val="edge"/>
          <c:x val="0.87342264372290401"/>
          <c:y val="6.9620310991499859E-2"/>
          <c:w val="0.12102172992944862"/>
          <c:h val="0.86061217632123654"/>
        </c:manualLayout>
      </c:layout>
      <c:overlay val="0"/>
      <c:txPr>
        <a:bodyPr/>
        <a:lstStyle/>
        <a:p>
          <a:pPr>
            <a:defRPr sz="1000" baseline="0"/>
          </a:pPr>
          <a:endParaRPr lang="en-US"/>
        </a:p>
      </c:txPr>
    </c:legend>
    <c:plotVisOnly val="1"/>
    <c:dispBlanksAs val="gap"/>
    <c:showDLblsOverMax val="0"/>
  </c:chart>
  <c:spPr>
    <a:ln>
      <a:solidFill>
        <a:schemeClr val="accent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a:t>
            </a:r>
          </a:p>
        </c:rich>
      </c:tx>
      <c:layout>
        <c:manualLayout>
          <c:xMode val="edge"/>
          <c:yMode val="edge"/>
          <c:x val="0.44618284203257735"/>
          <c:y val="3.854025886611827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06489238131432E-2"/>
          <c:y val="5.3641515809623869E-2"/>
          <c:w val="0.9453169123585935"/>
          <c:h val="0.74196522849290447"/>
        </c:manualLayout>
      </c:layout>
      <c:lineChart>
        <c:grouping val="standard"/>
        <c:varyColors val="0"/>
        <c:ser>
          <c:idx val="0"/>
          <c:order val="0"/>
          <c:tx>
            <c:strRef>
              <c:f>'Monthly Raw Data'!$AA$4</c:f>
              <c:strCache>
                <c:ptCount val="1"/>
                <c:pt idx="0">
                  <c:v>Australian Listed Equity [G]</c:v>
                </c:pt>
              </c:strCache>
            </c:strRef>
          </c:tx>
          <c:spPr>
            <a:ln w="19050" cap="rnd">
              <a:solidFill>
                <a:schemeClr val="accent1"/>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Data'!$AA$5:$AA$301</c:f>
              <c:numCache>
                <c:formatCode>General</c:formatCode>
                <c:ptCount val="297"/>
                <c:pt idx="0">
                  <c:v>100</c:v>
                </c:pt>
                <c:pt idx="1">
                  <c:v>104.31977267098557</c:v>
                </c:pt>
                <c:pt idx="2">
                  <c:v>104.12424886270318</c:v>
                </c:pt>
                <c:pt idx="3">
                  <c:v>99.077779370934735</c:v>
                </c:pt>
                <c:pt idx="4">
                  <c:v>104.87831901664559</c:v>
                </c:pt>
                <c:pt idx="5">
                  <c:v>106.67778979887117</c:v>
                </c:pt>
                <c:pt idx="6">
                  <c:v>110.70688374154361</c:v>
                </c:pt>
                <c:pt idx="7">
                  <c:v>105.45446250505103</c:v>
                </c:pt>
                <c:pt idx="8">
                  <c:v>104.44412581305318</c:v>
                </c:pt>
                <c:pt idx="9">
                  <c:v>97.581761539163423</c:v>
                </c:pt>
                <c:pt idx="10">
                  <c:v>104.18355775121549</c:v>
                </c:pt>
                <c:pt idx="11">
                  <c:v>107.63650820548246</c:v>
                </c:pt>
                <c:pt idx="12">
                  <c:v>110.48854882229492</c:v>
                </c:pt>
                <c:pt idx="13">
                  <c:v>111.91391738467354</c:v>
                </c:pt>
                <c:pt idx="14">
                  <c:v>110.6684307259147</c:v>
                </c:pt>
                <c:pt idx="15">
                  <c:v>111.38730659436628</c:v>
                </c:pt>
                <c:pt idx="16">
                  <c:v>109.38058057536138</c:v>
                </c:pt>
                <c:pt idx="17">
                  <c:v>110.30671168059227</c:v>
                </c:pt>
                <c:pt idx="18">
                  <c:v>105.68127012265859</c:v>
                </c:pt>
                <c:pt idx="19">
                  <c:v>101.42993078457185</c:v>
                </c:pt>
                <c:pt idx="20">
                  <c:v>103.07819648839239</c:v>
                </c:pt>
                <c:pt idx="21">
                  <c:v>98.792966356870053</c:v>
                </c:pt>
                <c:pt idx="22">
                  <c:v>101.43775173690315</c:v>
                </c:pt>
                <c:pt idx="23">
                  <c:v>102.57830728521709</c:v>
                </c:pt>
                <c:pt idx="24">
                  <c:v>100.94242475592111</c:v>
                </c:pt>
                <c:pt idx="25">
                  <c:v>99.286338099769267</c:v>
                </c:pt>
                <c:pt idx="26">
                  <c:v>94.398894638737161</c:v>
                </c:pt>
                <c:pt idx="27">
                  <c:v>98.102767313633208</c:v>
                </c:pt>
                <c:pt idx="28">
                  <c:v>102.33129554075369</c:v>
                </c:pt>
                <c:pt idx="29">
                  <c:v>102.71126347484913</c:v>
                </c:pt>
                <c:pt idx="30">
                  <c:v>103.98021299060184</c:v>
                </c:pt>
                <c:pt idx="31">
                  <c:v>107.37646154046693</c:v>
                </c:pt>
                <c:pt idx="32">
                  <c:v>110.59022120260178</c:v>
                </c:pt>
                <c:pt idx="33">
                  <c:v>110.4357573940587</c:v>
                </c:pt>
                <c:pt idx="34">
                  <c:v>114.14021664037962</c:v>
                </c:pt>
                <c:pt idx="35">
                  <c:v>111.83244913122259</c:v>
                </c:pt>
                <c:pt idx="36">
                  <c:v>116.04077323148717</c:v>
                </c:pt>
                <c:pt idx="37">
                  <c:v>115.12311482461517</c:v>
                </c:pt>
                <c:pt idx="38">
                  <c:v>118.72205638906634</c:v>
                </c:pt>
                <c:pt idx="39">
                  <c:v>121.4769868477652</c:v>
                </c:pt>
                <c:pt idx="40">
                  <c:v>121.00056050158378</c:v>
                </c:pt>
                <c:pt idx="41">
                  <c:v>123.26277096341104</c:v>
                </c:pt>
                <c:pt idx="42">
                  <c:v>126.5762477677699</c:v>
                </c:pt>
                <c:pt idx="43">
                  <c:v>126.92056519415519</c:v>
                </c:pt>
                <c:pt idx="44">
                  <c:v>128.38803654991727</c:v>
                </c:pt>
                <c:pt idx="45">
                  <c:v>133.26772423322086</c:v>
                </c:pt>
                <c:pt idx="46">
                  <c:v>137.61219807865277</c:v>
                </c:pt>
                <c:pt idx="47">
                  <c:v>143.91275727674446</c:v>
                </c:pt>
                <c:pt idx="48">
                  <c:v>148.43867721626242</c:v>
                </c:pt>
                <c:pt idx="49">
                  <c:v>150.56995190114321</c:v>
                </c:pt>
                <c:pt idx="50">
                  <c:v>153.82535813444221</c:v>
                </c:pt>
                <c:pt idx="51">
                  <c:v>152.32725471538254</c:v>
                </c:pt>
                <c:pt idx="52">
                  <c:v>147.53255471407903</c:v>
                </c:pt>
                <c:pt idx="53">
                  <c:v>152.26305773166314</c:v>
                </c:pt>
                <c:pt idx="54">
                  <c:v>159.52494232047653</c:v>
                </c:pt>
                <c:pt idx="55">
                  <c:v>163.75008146825343</c:v>
                </c:pt>
                <c:pt idx="56">
                  <c:v>167.04759049493589</c:v>
                </c:pt>
                <c:pt idx="57">
                  <c:v>175.55398412346673</c:v>
                </c:pt>
                <c:pt idx="58">
                  <c:v>168.80730476947738</c:v>
                </c:pt>
                <c:pt idx="59">
                  <c:v>176.29919053143368</c:v>
                </c:pt>
                <c:pt idx="60">
                  <c:v>181.77020738558596</c:v>
                </c:pt>
                <c:pt idx="61">
                  <c:v>188.23533245564869</c:v>
                </c:pt>
                <c:pt idx="62">
                  <c:v>189.32746327411132</c:v>
                </c:pt>
                <c:pt idx="63">
                  <c:v>198.36046769294941</c:v>
                </c:pt>
                <c:pt idx="64">
                  <c:v>203.52268727922103</c:v>
                </c:pt>
                <c:pt idx="65">
                  <c:v>193.88395010232412</c:v>
                </c:pt>
                <c:pt idx="66">
                  <c:v>197.84004848990443</c:v>
                </c:pt>
                <c:pt idx="67">
                  <c:v>194.51399298721273</c:v>
                </c:pt>
                <c:pt idx="68">
                  <c:v>201.01639793005458</c:v>
                </c:pt>
                <c:pt idx="69">
                  <c:v>203.65218921490666</c:v>
                </c:pt>
                <c:pt idx="70">
                  <c:v>213.25149575713328</c:v>
                </c:pt>
                <c:pt idx="71">
                  <c:v>218.30676382027445</c:v>
                </c:pt>
                <c:pt idx="72">
                  <c:v>226.31978570590607</c:v>
                </c:pt>
                <c:pt idx="73">
                  <c:v>230.5895042819713</c:v>
                </c:pt>
                <c:pt idx="74">
                  <c:v>234.32596425824775</c:v>
                </c:pt>
                <c:pt idx="75">
                  <c:v>242.06447071705085</c:v>
                </c:pt>
                <c:pt idx="76">
                  <c:v>249.32374832175387</c:v>
                </c:pt>
                <c:pt idx="77">
                  <c:v>255.9123792640483</c:v>
                </c:pt>
                <c:pt idx="78">
                  <c:v>255.62287367858482</c:v>
                </c:pt>
                <c:pt idx="79">
                  <c:v>250.40336561648647</c:v>
                </c:pt>
                <c:pt idx="80">
                  <c:v>255.96653935894253</c:v>
                </c:pt>
                <c:pt idx="81">
                  <c:v>270.25326850632837</c:v>
                </c:pt>
                <c:pt idx="82">
                  <c:v>278.20430934473444</c:v>
                </c:pt>
                <c:pt idx="83">
                  <c:v>270.15772253868101</c:v>
                </c:pt>
                <c:pt idx="84">
                  <c:v>263.03804893309172</c:v>
                </c:pt>
                <c:pt idx="85">
                  <c:v>234.11173533897303</c:v>
                </c:pt>
                <c:pt idx="86">
                  <c:v>232.55184639649616</c:v>
                </c:pt>
                <c:pt idx="87">
                  <c:v>224.59956724063761</c:v>
                </c:pt>
                <c:pt idx="88">
                  <c:v>234.73369657311929</c:v>
                </c:pt>
                <c:pt idx="89">
                  <c:v>238.74845210318435</c:v>
                </c:pt>
                <c:pt idx="90">
                  <c:v>220.68446367819382</c:v>
                </c:pt>
                <c:pt idx="91">
                  <c:v>210.32404812492663</c:v>
                </c:pt>
                <c:pt idx="92">
                  <c:v>218.81714613449424</c:v>
                </c:pt>
                <c:pt idx="93">
                  <c:v>197.06831601861381</c:v>
                </c:pt>
                <c:pt idx="94">
                  <c:v>171.67896294172084</c:v>
                </c:pt>
                <c:pt idx="95">
                  <c:v>160.87131926430905</c:v>
                </c:pt>
                <c:pt idx="96">
                  <c:v>160.65083358316926</c:v>
                </c:pt>
                <c:pt idx="97">
                  <c:v>152.87563382301178</c:v>
                </c:pt>
                <c:pt idx="98">
                  <c:v>145.90468866092257</c:v>
                </c:pt>
                <c:pt idx="99">
                  <c:v>157.67887169727697</c:v>
                </c:pt>
                <c:pt idx="100">
                  <c:v>166.67407484651378</c:v>
                </c:pt>
                <c:pt idx="101">
                  <c:v>169.10274124379208</c:v>
                </c:pt>
                <c:pt idx="102">
                  <c:v>175.79910580445011</c:v>
                </c:pt>
                <c:pt idx="103">
                  <c:v>188.70139603999112</c:v>
                </c:pt>
                <c:pt idx="104">
                  <c:v>201.22860643664379</c:v>
                </c:pt>
                <c:pt idx="105">
                  <c:v>213.83506915025353</c:v>
                </c:pt>
                <c:pt idx="106">
                  <c:v>209.40645489265742</c:v>
                </c:pt>
                <c:pt idx="107">
                  <c:v>213.1794126464799</c:v>
                </c:pt>
                <c:pt idx="108">
                  <c:v>221.04311951718654</c:v>
                </c:pt>
                <c:pt idx="109">
                  <c:v>207.41132995294393</c:v>
                </c:pt>
                <c:pt idx="110">
                  <c:v>211.65484833869937</c:v>
                </c:pt>
                <c:pt idx="111">
                  <c:v>223.80671819805258</c:v>
                </c:pt>
                <c:pt idx="112">
                  <c:v>220.79434805844858</c:v>
                </c:pt>
                <c:pt idx="113">
                  <c:v>204.14627787843631</c:v>
                </c:pt>
                <c:pt idx="114">
                  <c:v>198.74310778575801</c:v>
                </c:pt>
                <c:pt idx="115">
                  <c:v>207.63898484038737</c:v>
                </c:pt>
                <c:pt idx="116">
                  <c:v>205.39437152130554</c:v>
                </c:pt>
                <c:pt idx="117">
                  <c:v>215.22811110966273</c:v>
                </c:pt>
                <c:pt idx="118">
                  <c:v>219.17808308458356</c:v>
                </c:pt>
                <c:pt idx="119">
                  <c:v>217.05567214567822</c:v>
                </c:pt>
                <c:pt idx="120">
                  <c:v>225.24564307780534</c:v>
                </c:pt>
                <c:pt idx="121">
                  <c:v>225.4829438064574</c:v>
                </c:pt>
                <c:pt idx="122">
                  <c:v>230.7409048841846</c:v>
                </c:pt>
                <c:pt idx="123">
                  <c:v>232.28247976328572</c:v>
                </c:pt>
                <c:pt idx="124">
                  <c:v>231.54437738701969</c:v>
                </c:pt>
                <c:pt idx="125">
                  <c:v>226.87259668652308</c:v>
                </c:pt>
                <c:pt idx="126">
                  <c:v>222.39053925466308</c:v>
                </c:pt>
                <c:pt idx="127">
                  <c:v>213.87098035637459</c:v>
                </c:pt>
                <c:pt idx="128">
                  <c:v>209.63951927212992</c:v>
                </c:pt>
                <c:pt idx="129">
                  <c:v>196.48383018105491</c:v>
                </c:pt>
                <c:pt idx="130">
                  <c:v>210.69254532893609</c:v>
                </c:pt>
                <c:pt idx="131">
                  <c:v>203.44741061303216</c:v>
                </c:pt>
                <c:pt idx="132">
                  <c:v>200.51989780622273</c:v>
                </c:pt>
                <c:pt idx="133">
                  <c:v>210.81038101072761</c:v>
                </c:pt>
                <c:pt idx="134">
                  <c:v>215.10141168189568</c:v>
                </c:pt>
                <c:pt idx="135">
                  <c:v>217.72006204622173</c:v>
                </c:pt>
                <c:pt idx="136">
                  <c:v>220.55724285360469</c:v>
                </c:pt>
                <c:pt idx="137">
                  <c:v>205.69749859874591</c:v>
                </c:pt>
                <c:pt idx="138">
                  <c:v>206.79907973460885</c:v>
                </c:pt>
                <c:pt idx="139">
                  <c:v>215.48326967947114</c:v>
                </c:pt>
                <c:pt idx="140">
                  <c:v>220.08792053912416</c:v>
                </c:pt>
                <c:pt idx="141">
                  <c:v>224.88894247689544</c:v>
                </c:pt>
                <c:pt idx="142">
                  <c:v>231.4520249749076</c:v>
                </c:pt>
                <c:pt idx="143">
                  <c:v>232.35879922311855</c:v>
                </c:pt>
                <c:pt idx="144">
                  <c:v>240.10356244378673</c:v>
                </c:pt>
                <c:pt idx="145">
                  <c:v>252.06010401866578</c:v>
                </c:pt>
                <c:pt idx="146">
                  <c:v>265.39802129906002</c:v>
                </c:pt>
                <c:pt idx="147">
                  <c:v>259.41642660687967</c:v>
                </c:pt>
                <c:pt idx="148">
                  <c:v>270.56200059960616</c:v>
                </c:pt>
                <c:pt idx="149">
                  <c:v>258.28493032834945</c:v>
                </c:pt>
                <c:pt idx="150">
                  <c:v>252.07874395505536</c:v>
                </c:pt>
                <c:pt idx="151">
                  <c:v>265.43139069567349</c:v>
                </c:pt>
                <c:pt idx="152">
                  <c:v>272.10155506602166</c:v>
                </c:pt>
                <c:pt idx="153">
                  <c:v>277.98460575882768</c:v>
                </c:pt>
                <c:pt idx="154">
                  <c:v>288.92227276874723</c:v>
                </c:pt>
                <c:pt idx="155">
                  <c:v>284.99993482539702</c:v>
                </c:pt>
                <c:pt idx="156">
                  <c:v>287.34687227081326</c:v>
                </c:pt>
                <c:pt idx="157">
                  <c:v>278.73932765879766</c:v>
                </c:pt>
                <c:pt idx="158">
                  <c:v>292.44326550829646</c:v>
                </c:pt>
                <c:pt idx="159">
                  <c:v>293.0557764250425</c:v>
                </c:pt>
                <c:pt idx="160">
                  <c:v>297.98955902863753</c:v>
                </c:pt>
                <c:pt idx="161">
                  <c:v>299.91220981008104</c:v>
                </c:pt>
                <c:pt idx="162">
                  <c:v>295.57294993287002</c:v>
                </c:pt>
                <c:pt idx="163">
                  <c:v>308.6147138183191</c:v>
                </c:pt>
                <c:pt idx="164">
                  <c:v>310.5971297104943</c:v>
                </c:pt>
                <c:pt idx="165">
                  <c:v>293.92611807031022</c:v>
                </c:pt>
                <c:pt idx="166">
                  <c:v>306.46336535578803</c:v>
                </c:pt>
                <c:pt idx="167">
                  <c:v>296.52691059347978</c:v>
                </c:pt>
                <c:pt idx="168">
                  <c:v>302.57680826935348</c:v>
                </c:pt>
                <c:pt idx="169">
                  <c:v>312.33064379472597</c:v>
                </c:pt>
                <c:pt idx="170">
                  <c:v>333.95088441935934</c:v>
                </c:pt>
                <c:pt idx="171">
                  <c:v>333.77810654744047</c:v>
                </c:pt>
                <c:pt idx="172">
                  <c:v>328.27912978870381</c:v>
                </c:pt>
                <c:pt idx="173">
                  <c:v>329.6865101607205</c:v>
                </c:pt>
                <c:pt idx="174">
                  <c:v>312.16281919261695</c:v>
                </c:pt>
                <c:pt idx="175">
                  <c:v>325.62769659918916</c:v>
                </c:pt>
                <c:pt idx="176">
                  <c:v>300.56173990119521</c:v>
                </c:pt>
                <c:pt idx="177">
                  <c:v>291.97205313033612</c:v>
                </c:pt>
                <c:pt idx="178">
                  <c:v>304.87857971505656</c:v>
                </c:pt>
                <c:pt idx="179">
                  <c:v>302.80035715682311</c:v>
                </c:pt>
                <c:pt idx="180">
                  <c:v>311.060977358343</c:v>
                </c:pt>
                <c:pt idx="181">
                  <c:v>294.1089980056571</c:v>
                </c:pt>
                <c:pt idx="182">
                  <c:v>289.03645867278431</c:v>
                </c:pt>
                <c:pt idx="183">
                  <c:v>302.84128680735688</c:v>
                </c:pt>
                <c:pt idx="184">
                  <c:v>312.95547271139378</c:v>
                </c:pt>
                <c:pt idx="185">
                  <c:v>322.77076788716971</c:v>
                </c:pt>
                <c:pt idx="186">
                  <c:v>314.88796485785417</c:v>
                </c:pt>
                <c:pt idx="187">
                  <c:v>334.91240533388947</c:v>
                </c:pt>
                <c:pt idx="188">
                  <c:v>329.69830676382026</c:v>
                </c:pt>
                <c:pt idx="189">
                  <c:v>331.39408475305345</c:v>
                </c:pt>
                <c:pt idx="190">
                  <c:v>324.18694683055907</c:v>
                </c:pt>
                <c:pt idx="191">
                  <c:v>333.28023775695084</c:v>
                </c:pt>
                <c:pt idx="192">
                  <c:v>347.7460667127234</c:v>
                </c:pt>
                <c:pt idx="193">
                  <c:v>345.05213968220869</c:v>
                </c:pt>
                <c:pt idx="194">
                  <c:v>352.58508544390429</c:v>
                </c:pt>
                <c:pt idx="195">
                  <c:v>364.1331777832815</c:v>
                </c:pt>
                <c:pt idx="196">
                  <c:v>367.71171969706853</c:v>
                </c:pt>
                <c:pt idx="197">
                  <c:v>357.62484195158839</c:v>
                </c:pt>
                <c:pt idx="198">
                  <c:v>358.41351981959684</c:v>
                </c:pt>
                <c:pt idx="199">
                  <c:v>358.46389978753098</c:v>
                </c:pt>
                <c:pt idx="200">
                  <c:v>361.15007104031719</c:v>
                </c:pt>
                <c:pt idx="201">
                  <c:v>361.27742221411177</c:v>
                </c:pt>
                <c:pt idx="202">
                  <c:v>375.78398529660984</c:v>
                </c:pt>
                <c:pt idx="203">
                  <c:v>382.14769868477674</c:v>
                </c:pt>
                <c:pt idx="204">
                  <c:v>389.25120898888144</c:v>
                </c:pt>
                <c:pt idx="205">
                  <c:v>387.72879544299201</c:v>
                </c:pt>
                <c:pt idx="206">
                  <c:v>389.03984775212825</c:v>
                </c:pt>
                <c:pt idx="207">
                  <c:v>374.54586336796302</c:v>
                </c:pt>
                <c:pt idx="208">
                  <c:v>388.69794178604513</c:v>
                </c:pt>
                <c:pt idx="209">
                  <c:v>393.33654861373645</c:v>
                </c:pt>
                <c:pt idx="210">
                  <c:v>405.87457799444741</c:v>
                </c:pt>
                <c:pt idx="211">
                  <c:v>411.17451151635265</c:v>
                </c:pt>
                <c:pt idx="212">
                  <c:v>416.94441909876593</c:v>
                </c:pt>
                <c:pt idx="213">
                  <c:v>411.96762125734875</c:v>
                </c:pt>
                <c:pt idx="214">
                  <c:v>386.60668430725951</c:v>
                </c:pt>
                <c:pt idx="215">
                  <c:v>378.19329483686829</c:v>
                </c:pt>
                <c:pt idx="216">
                  <c:v>377.3362488105638</c:v>
                </c:pt>
                <c:pt idx="217">
                  <c:v>391.93073243218612</c:v>
                </c:pt>
                <c:pt idx="218">
                  <c:v>415.47955472711431</c:v>
                </c:pt>
                <c:pt idx="219">
                  <c:v>418.52555496174284</c:v>
                </c:pt>
                <c:pt idx="220">
                  <c:v>428.82803029315573</c:v>
                </c:pt>
                <c:pt idx="221">
                  <c:v>436.3140503408635</c:v>
                </c:pt>
                <c:pt idx="222">
                  <c:v>452.21261258912659</c:v>
                </c:pt>
                <c:pt idx="223">
                  <c:v>465.64144844037213</c:v>
                </c:pt>
                <c:pt idx="224">
                  <c:v>455.06295866626732</c:v>
                </c:pt>
                <c:pt idx="225">
                  <c:v>463.74512819844409</c:v>
                </c:pt>
                <c:pt idx="226">
                  <c:v>461.98730398738263</c:v>
                </c:pt>
                <c:pt idx="227">
                  <c:v>476.68430725914772</c:v>
                </c:pt>
                <c:pt idx="228">
                  <c:v>467.03240481249304</c:v>
                </c:pt>
                <c:pt idx="229">
                  <c:v>489.85870146121505</c:v>
                </c:pt>
                <c:pt idx="230">
                  <c:v>451.82430230587795</c:v>
                </c:pt>
                <c:pt idx="231">
                  <c:v>357.71315353832955</c:v>
                </c:pt>
                <c:pt idx="232">
                  <c:v>389.98716060325654</c:v>
                </c:pt>
                <c:pt idx="233">
                  <c:v>407.85999191834964</c:v>
                </c:pt>
                <c:pt idx="234">
                  <c:v>417.78256449026986</c:v>
                </c:pt>
                <c:pt idx="235">
                  <c:v>420.29986834730283</c:v>
                </c:pt>
                <c:pt idx="236">
                  <c:v>433.11606293259683</c:v>
                </c:pt>
                <c:pt idx="237">
                  <c:v>417.54650207907031</c:v>
                </c:pt>
                <c:pt idx="238">
                  <c:v>425.42787126712511</c:v>
                </c:pt>
                <c:pt idx="239">
                  <c:v>468.94117340354865</c:v>
                </c:pt>
                <c:pt idx="240">
                  <c:v>475.12950193568628</c:v>
                </c:pt>
                <c:pt idx="241">
                  <c:v>476.7056845288534</c:v>
                </c:pt>
                <c:pt idx="242">
                  <c:v>483.74206499211448</c:v>
                </c:pt>
                <c:pt idx="243">
                  <c:v>494.85055463587014</c:v>
                </c:pt>
                <c:pt idx="244">
                  <c:v>513.147151218114</c:v>
                </c:pt>
                <c:pt idx="245">
                  <c:v>524.99133177783347</c:v>
                </c:pt>
                <c:pt idx="246">
                  <c:v>536.82286846461739</c:v>
                </c:pt>
                <c:pt idx="247">
                  <c:v>542.75923198248177</c:v>
                </c:pt>
                <c:pt idx="248">
                  <c:v>556.91958757511429</c:v>
                </c:pt>
                <c:pt idx="249">
                  <c:v>546.410704276758</c:v>
                </c:pt>
                <c:pt idx="250">
                  <c:v>546.95484703520799</c:v>
                </c:pt>
                <c:pt idx="251">
                  <c:v>544.04734283144614</c:v>
                </c:pt>
                <c:pt idx="252">
                  <c:v>558.4682664859165</c:v>
                </c:pt>
                <c:pt idx="253">
                  <c:v>522.42286585763327</c:v>
                </c:pt>
                <c:pt idx="254">
                  <c:v>533.32527340745924</c:v>
                </c:pt>
                <c:pt idx="255">
                  <c:v>570.11027542787201</c:v>
                </c:pt>
                <c:pt idx="256">
                  <c:v>565.3418407914811</c:v>
                </c:pt>
                <c:pt idx="257">
                  <c:v>549.74067025561556</c:v>
                </c:pt>
                <c:pt idx="258">
                  <c:v>500.44892266381709</c:v>
                </c:pt>
                <c:pt idx="259">
                  <c:v>530.24811971271106</c:v>
                </c:pt>
                <c:pt idx="260">
                  <c:v>536.49262875242857</c:v>
                </c:pt>
                <c:pt idx="261">
                  <c:v>502.72201728430537</c:v>
                </c:pt>
                <c:pt idx="262">
                  <c:v>532.70246490347722</c:v>
                </c:pt>
                <c:pt idx="263">
                  <c:v>567.27843893791555</c:v>
                </c:pt>
                <c:pt idx="264">
                  <c:v>548.59809429461609</c:v>
                </c:pt>
                <c:pt idx="265">
                  <c:v>583.09077518672609</c:v>
                </c:pt>
                <c:pt idx="266">
                  <c:v>568.22816324934581</c:v>
                </c:pt>
                <c:pt idx="267">
                  <c:v>566.88660922611746</c:v>
                </c:pt>
                <c:pt idx="268">
                  <c:v>577.35984201676365</c:v>
                </c:pt>
                <c:pt idx="269">
                  <c:v>562.74554531590195</c:v>
                </c:pt>
                <c:pt idx="270">
                  <c:v>572.49019122228515</c:v>
                </c:pt>
                <c:pt idx="271">
                  <c:v>589.06076879961472</c:v>
                </c:pt>
                <c:pt idx="272">
                  <c:v>584.56170079643425</c:v>
                </c:pt>
                <c:pt idx="273">
                  <c:v>567.67587366555051</c:v>
                </c:pt>
                <c:pt idx="274">
                  <c:v>546.09767065969777</c:v>
                </c:pt>
                <c:pt idx="275">
                  <c:v>573.75073321428158</c:v>
                </c:pt>
                <c:pt idx="276">
                  <c:v>615.15635387202371</c:v>
                </c:pt>
                <c:pt idx="277">
                  <c:v>621.92519259095172</c:v>
                </c:pt>
                <c:pt idx="278">
                  <c:v>628.04332807591595</c:v>
                </c:pt>
                <c:pt idx="279">
                  <c:v>648.53650429500703</c:v>
                </c:pt>
                <c:pt idx="280">
                  <c:v>629.57616955824722</c:v>
                </c:pt>
                <c:pt idx="281">
                  <c:v>634.93273980995161</c:v>
                </c:pt>
                <c:pt idx="282">
                  <c:v>640.74963828095542</c:v>
                </c:pt>
                <c:pt idx="283">
                  <c:v>667.22760274776192</c:v>
                </c:pt>
                <c:pt idx="284">
                  <c:v>670.19500241146091</c:v>
                </c:pt>
                <c:pt idx="285">
                  <c:v>690.79213212195532</c:v>
                </c:pt>
                <c:pt idx="286">
                  <c:v>681.84300741687036</c:v>
                </c:pt>
                <c:pt idx="287">
                  <c:v>706.95282662252237</c:v>
                </c:pt>
                <c:pt idx="288">
                  <c:v>685.21383787165871</c:v>
                </c:pt>
                <c:pt idx="289">
                  <c:v>715.79897545524511</c:v>
                </c:pt>
                <c:pt idx="290">
                  <c:v>688.66222610373245</c:v>
                </c:pt>
                <c:pt idx="291">
                  <c:v>665.66732275766833</c:v>
                </c:pt>
                <c:pt idx="292">
                  <c:v>689.61768578020565</c:v>
                </c:pt>
                <c:pt idx="293">
                  <c:v>718.55911988216474</c:v>
                </c:pt>
                <c:pt idx="294">
                  <c:v>728.76155219833981</c:v>
                </c:pt>
                <c:pt idx="295">
                  <c:v>746.4936063714697</c:v>
                </c:pt>
                <c:pt idx="296">
                  <c:v>770.1154893960927</c:v>
                </c:pt>
              </c:numCache>
            </c:numRef>
          </c:val>
          <c:smooth val="1"/>
          <c:extLst>
            <c:ext xmlns:c16="http://schemas.microsoft.com/office/drawing/2014/chart" uri="{C3380CC4-5D6E-409C-BE32-E72D297353CC}">
              <c16:uniqueId val="{00000000-FC64-4372-8D06-87213EDAAFB4}"/>
            </c:ext>
          </c:extLst>
        </c:ser>
        <c:ser>
          <c:idx val="1"/>
          <c:order val="1"/>
          <c:tx>
            <c:strRef>
              <c:f>'Monthly Raw Data'!$AB$4</c:f>
              <c:strCache>
                <c:ptCount val="1"/>
                <c:pt idx="0">
                  <c:v>Int'l Listed Equity (Hedged) [G]</c:v>
                </c:pt>
              </c:strCache>
            </c:strRef>
          </c:tx>
          <c:spPr>
            <a:ln w="19050" cap="rnd">
              <a:solidFill>
                <a:schemeClr val="accent2"/>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Data'!$AB$5:$AB$301</c:f>
              <c:numCache>
                <c:formatCode>General</c:formatCode>
                <c:ptCount val="297"/>
                <c:pt idx="0">
                  <c:v>100</c:v>
                </c:pt>
                <c:pt idx="1">
                  <c:v>102.60299184310493</c:v>
                </c:pt>
                <c:pt idx="2">
                  <c:v>94.530365048048139</c:v>
                </c:pt>
                <c:pt idx="3">
                  <c:v>90.005349588228938</c:v>
                </c:pt>
                <c:pt idx="4">
                  <c:v>96.283263150662066</c:v>
                </c:pt>
                <c:pt idx="5">
                  <c:v>95.59944835438813</c:v>
                </c:pt>
                <c:pt idx="6">
                  <c:v>93.171078849985761</c:v>
                </c:pt>
                <c:pt idx="7">
                  <c:v>91.188344768691664</c:v>
                </c:pt>
                <c:pt idx="8">
                  <c:v>85.510615742513039</c:v>
                </c:pt>
                <c:pt idx="9">
                  <c:v>77.900262080744426</c:v>
                </c:pt>
                <c:pt idx="10">
                  <c:v>79.870579227892463</c:v>
                </c:pt>
                <c:pt idx="11">
                  <c:v>84.86179412428713</c:v>
                </c:pt>
                <c:pt idx="12">
                  <c:v>85.789383275911149</c:v>
                </c:pt>
                <c:pt idx="13">
                  <c:v>84.11456952992333</c:v>
                </c:pt>
                <c:pt idx="14">
                  <c:v>83.269825377661277</c:v>
                </c:pt>
                <c:pt idx="15">
                  <c:v>86.59196874662581</c:v>
                </c:pt>
                <c:pt idx="16">
                  <c:v>82.620463892733369</c:v>
                </c:pt>
                <c:pt idx="17">
                  <c:v>81.718052160939152</c:v>
                </c:pt>
                <c:pt idx="18">
                  <c:v>75.396802025972477</c:v>
                </c:pt>
                <c:pt idx="19">
                  <c:v>69.03530728231101</c:v>
                </c:pt>
                <c:pt idx="20">
                  <c:v>69.148630210940638</c:v>
                </c:pt>
                <c:pt idx="21">
                  <c:v>61.509516377592576</c:v>
                </c:pt>
                <c:pt idx="22">
                  <c:v>66.060249123943564</c:v>
                </c:pt>
                <c:pt idx="23">
                  <c:v>69.593823924929055</c:v>
                </c:pt>
                <c:pt idx="24">
                  <c:v>65.123236844430025</c:v>
                </c:pt>
                <c:pt idx="25">
                  <c:v>62.744387840238694</c:v>
                </c:pt>
                <c:pt idx="26">
                  <c:v>61.718984657969877</c:v>
                </c:pt>
                <c:pt idx="27">
                  <c:v>61.385445193713956</c:v>
                </c:pt>
                <c:pt idx="28">
                  <c:v>66.459505089470596</c:v>
                </c:pt>
                <c:pt idx="29">
                  <c:v>69.275940595031244</c:v>
                </c:pt>
                <c:pt idx="30">
                  <c:v>70.728820047704559</c:v>
                </c:pt>
                <c:pt idx="31">
                  <c:v>72.744093367492155</c:v>
                </c:pt>
                <c:pt idx="32">
                  <c:v>74.515543253138574</c:v>
                </c:pt>
                <c:pt idx="33">
                  <c:v>73.35625312877292</c:v>
                </c:pt>
                <c:pt idx="34">
                  <c:v>77.33884978945197</c:v>
                </c:pt>
                <c:pt idx="35">
                  <c:v>77.842250949674593</c:v>
                </c:pt>
                <c:pt idx="36">
                  <c:v>81.342501251509162</c:v>
                </c:pt>
                <c:pt idx="37">
                  <c:v>82.717541741511809</c:v>
                </c:pt>
                <c:pt idx="38">
                  <c:v>84.188089558977964</c:v>
                </c:pt>
                <c:pt idx="39">
                  <c:v>83.430362103320647</c:v>
                </c:pt>
                <c:pt idx="40">
                  <c:v>83.107521815522617</c:v>
                </c:pt>
                <c:pt idx="41">
                  <c:v>83.243077436516558</c:v>
                </c:pt>
                <c:pt idx="42">
                  <c:v>85.008834182396384</c:v>
                </c:pt>
                <c:pt idx="43">
                  <c:v>82.551704506414566</c:v>
                </c:pt>
                <c:pt idx="44">
                  <c:v>82.690401170038356</c:v>
                </c:pt>
                <c:pt idx="45">
                  <c:v>83.75325146990977</c:v>
                </c:pt>
                <c:pt idx="46">
                  <c:v>84.78537844655807</c:v>
                </c:pt>
                <c:pt idx="47">
                  <c:v>87.612267734621113</c:v>
                </c:pt>
                <c:pt idx="48">
                  <c:v>90.547130363084847</c:v>
                </c:pt>
                <c:pt idx="49">
                  <c:v>89.649577431608648</c:v>
                </c:pt>
                <c:pt idx="50">
                  <c:v>91.887815699323625</c:v>
                </c:pt>
                <c:pt idx="51">
                  <c:v>90.962140620552177</c:v>
                </c:pt>
                <c:pt idx="52">
                  <c:v>88.880954484329067</c:v>
                </c:pt>
                <c:pt idx="53">
                  <c:v>92.039321927422222</c:v>
                </c:pt>
                <c:pt idx="54">
                  <c:v>93.587266998439233</c:v>
                </c:pt>
                <c:pt idx="55">
                  <c:v>97.104842113528989</c:v>
                </c:pt>
                <c:pt idx="56">
                  <c:v>97.187000009815691</c:v>
                </c:pt>
                <c:pt idx="57">
                  <c:v>100.38148944315198</c:v>
                </c:pt>
                <c:pt idx="58">
                  <c:v>98.458484250615882</c:v>
                </c:pt>
                <c:pt idx="59">
                  <c:v>102.61403457110038</c:v>
                </c:pt>
                <c:pt idx="60">
                  <c:v>104.82724265535884</c:v>
                </c:pt>
                <c:pt idx="61">
                  <c:v>108.19645258497985</c:v>
                </c:pt>
                <c:pt idx="62">
                  <c:v>108.54613897150479</c:v>
                </c:pt>
                <c:pt idx="63">
                  <c:v>111.20051630888221</c:v>
                </c:pt>
                <c:pt idx="64">
                  <c:v>112.21050875074837</c:v>
                </c:pt>
                <c:pt idx="65">
                  <c:v>107.28299812519012</c:v>
                </c:pt>
                <c:pt idx="66">
                  <c:v>107.82104891192313</c:v>
                </c:pt>
                <c:pt idx="67">
                  <c:v>108.41647280544178</c:v>
                </c:pt>
                <c:pt idx="68">
                  <c:v>111.19074962945504</c:v>
                </c:pt>
                <c:pt idx="69">
                  <c:v>113.20116414892458</c:v>
                </c:pt>
                <c:pt idx="70">
                  <c:v>116.69287474110928</c:v>
                </c:pt>
                <c:pt idx="71">
                  <c:v>118.008235421145</c:v>
                </c:pt>
                <c:pt idx="72">
                  <c:v>121.13131521344354</c:v>
                </c:pt>
                <c:pt idx="73">
                  <c:v>123.30329711318535</c:v>
                </c:pt>
                <c:pt idx="74">
                  <c:v>121.84658951480691</c:v>
                </c:pt>
                <c:pt idx="75">
                  <c:v>123.68527734424831</c:v>
                </c:pt>
                <c:pt idx="76">
                  <c:v>128.01122922740151</c:v>
                </c:pt>
                <c:pt idx="77">
                  <c:v>132.32751258870977</c:v>
                </c:pt>
                <c:pt idx="78">
                  <c:v>131.04027405596929</c:v>
                </c:pt>
                <c:pt idx="79">
                  <c:v>127.0350520725972</c:v>
                </c:pt>
                <c:pt idx="80">
                  <c:v>126.96997359561024</c:v>
                </c:pt>
                <c:pt idx="81">
                  <c:v>130.7769663417649</c:v>
                </c:pt>
                <c:pt idx="82">
                  <c:v>133.57985610098436</c:v>
                </c:pt>
                <c:pt idx="83">
                  <c:v>127.8492201380094</c:v>
                </c:pt>
                <c:pt idx="84">
                  <c:v>126.81336317323817</c:v>
                </c:pt>
                <c:pt idx="85">
                  <c:v>116.15325343306129</c:v>
                </c:pt>
                <c:pt idx="86">
                  <c:v>114.15339085367636</c:v>
                </c:pt>
                <c:pt idx="87">
                  <c:v>111.72345082795907</c:v>
                </c:pt>
                <c:pt idx="88">
                  <c:v>118.58756147118569</c:v>
                </c:pt>
                <c:pt idx="89">
                  <c:v>120.48499661356325</c:v>
                </c:pt>
                <c:pt idx="90">
                  <c:v>110.56568214611724</c:v>
                </c:pt>
                <c:pt idx="91">
                  <c:v>108.55467868115458</c:v>
                </c:pt>
                <c:pt idx="92">
                  <c:v>109.80942705419267</c:v>
                </c:pt>
                <c:pt idx="93">
                  <c:v>97.969070545854194</c:v>
                </c:pt>
                <c:pt idx="94">
                  <c:v>81.932428320425501</c:v>
                </c:pt>
                <c:pt idx="95">
                  <c:v>76.956231534104745</c:v>
                </c:pt>
                <c:pt idx="96">
                  <c:v>77.743553500790071</c:v>
                </c:pt>
                <c:pt idx="97">
                  <c:v>72.229551321691744</c:v>
                </c:pt>
                <c:pt idx="98">
                  <c:v>65.759543370927588</c:v>
                </c:pt>
                <c:pt idx="99">
                  <c:v>69.941841632556802</c:v>
                </c:pt>
                <c:pt idx="100">
                  <c:v>77.168497305574249</c:v>
                </c:pt>
                <c:pt idx="101">
                  <c:v>81.508289407815184</c:v>
                </c:pt>
                <c:pt idx="102">
                  <c:v>81.452830373882108</c:v>
                </c:pt>
                <c:pt idx="103">
                  <c:v>87.494282320837726</c:v>
                </c:pt>
                <c:pt idx="104">
                  <c:v>90.751298134024211</c:v>
                </c:pt>
                <c:pt idx="105">
                  <c:v>93.541280171186671</c:v>
                </c:pt>
                <c:pt idx="106">
                  <c:v>91.441493173140003</c:v>
                </c:pt>
                <c:pt idx="107">
                  <c:v>94.269314958233807</c:v>
                </c:pt>
                <c:pt idx="108">
                  <c:v>97.75076808308043</c:v>
                </c:pt>
                <c:pt idx="109">
                  <c:v>94.214837500122556</c:v>
                </c:pt>
                <c:pt idx="110">
                  <c:v>96.047783111006268</c:v>
                </c:pt>
                <c:pt idx="111">
                  <c:v>102.31269079380021</c:v>
                </c:pt>
                <c:pt idx="112">
                  <c:v>102.56927471362511</c:v>
                </c:pt>
                <c:pt idx="113">
                  <c:v>94.799316823227883</c:v>
                </c:pt>
                <c:pt idx="114">
                  <c:v>90.848572297967024</c:v>
                </c:pt>
                <c:pt idx="115">
                  <c:v>96.061574251302901</c:v>
                </c:pt>
                <c:pt idx="116">
                  <c:v>92.829981251901671</c:v>
                </c:pt>
                <c:pt idx="117">
                  <c:v>99.282664389410598</c:v>
                </c:pt>
                <c:pt idx="118">
                  <c:v>102.11161498669949</c:v>
                </c:pt>
                <c:pt idx="119">
                  <c:v>101.77557250409792</c:v>
                </c:pt>
                <c:pt idx="120">
                  <c:v>107.53158220206704</c:v>
                </c:pt>
                <c:pt idx="121">
                  <c:v>109.61640016883089</c:v>
                </c:pt>
                <c:pt idx="122">
                  <c:v>112.82060720280323</c:v>
                </c:pt>
                <c:pt idx="123">
                  <c:v>111.38269678141275</c:v>
                </c:pt>
                <c:pt idx="124">
                  <c:v>113.90838952854899</c:v>
                </c:pt>
                <c:pt idx="125">
                  <c:v>112.45879835487878</c:v>
                </c:pt>
                <c:pt idx="126">
                  <c:v>110.67620758365466</c:v>
                </c:pt>
                <c:pt idx="127">
                  <c:v>107.65982508318841</c:v>
                </c:pt>
                <c:pt idx="128">
                  <c:v>100.3758944609675</c:v>
                </c:pt>
                <c:pt idx="129">
                  <c:v>94.291547650598147</c:v>
                </c:pt>
                <c:pt idx="130">
                  <c:v>102.35215014183755</c:v>
                </c:pt>
                <c:pt idx="131">
                  <c:v>101.03948879531184</c:v>
                </c:pt>
                <c:pt idx="132">
                  <c:v>101.63240967048485</c:v>
                </c:pt>
                <c:pt idx="133">
                  <c:v>106.02982027346687</c:v>
                </c:pt>
                <c:pt idx="134">
                  <c:v>111.04454391079423</c:v>
                </c:pt>
                <c:pt idx="135">
                  <c:v>113.00210057225853</c:v>
                </c:pt>
                <c:pt idx="136">
                  <c:v>111.27001187706725</c:v>
                </c:pt>
                <c:pt idx="137">
                  <c:v>103.742699529825</c:v>
                </c:pt>
                <c:pt idx="138">
                  <c:v>108.18614603885057</c:v>
                </c:pt>
                <c:pt idx="139">
                  <c:v>109.64329534634884</c:v>
                </c:pt>
                <c:pt idx="140">
                  <c:v>111.83942401130756</c:v>
                </c:pt>
                <c:pt idx="141">
                  <c:v>114.24349951411975</c:v>
                </c:pt>
                <c:pt idx="142">
                  <c:v>113.71654053417335</c:v>
                </c:pt>
                <c:pt idx="143">
                  <c:v>115.38786968599368</c:v>
                </c:pt>
                <c:pt idx="144">
                  <c:v>117.5950410789479</c:v>
                </c:pt>
                <c:pt idx="145">
                  <c:v>123.91344464403129</c:v>
                </c:pt>
                <c:pt idx="146">
                  <c:v>125.74054987877513</c:v>
                </c:pt>
                <c:pt idx="147">
                  <c:v>129.10499916566027</c:v>
                </c:pt>
                <c:pt idx="148">
                  <c:v>132.70301441934856</c:v>
                </c:pt>
                <c:pt idx="149">
                  <c:v>134.61001992598892</c:v>
                </c:pt>
                <c:pt idx="150">
                  <c:v>131.35408384620644</c:v>
                </c:pt>
                <c:pt idx="151">
                  <c:v>137.57084523493992</c:v>
                </c:pt>
                <c:pt idx="152">
                  <c:v>134.73404203107646</c:v>
                </c:pt>
                <c:pt idx="153">
                  <c:v>139.76319483298462</c:v>
                </c:pt>
                <c:pt idx="154">
                  <c:v>145.29491445566686</c:v>
                </c:pt>
                <c:pt idx="155">
                  <c:v>148.44960098942815</c:v>
                </c:pt>
                <c:pt idx="156">
                  <c:v>151.5494174347495</c:v>
                </c:pt>
                <c:pt idx="157">
                  <c:v>146.63628689498097</c:v>
                </c:pt>
                <c:pt idx="158">
                  <c:v>152.81265643864637</c:v>
                </c:pt>
                <c:pt idx="159">
                  <c:v>153.09706803301998</c:v>
                </c:pt>
                <c:pt idx="160">
                  <c:v>154.21287434847878</c:v>
                </c:pt>
                <c:pt idx="161">
                  <c:v>157.68132159368625</c:v>
                </c:pt>
                <c:pt idx="162">
                  <c:v>159.85924202715012</c:v>
                </c:pt>
                <c:pt idx="163">
                  <c:v>158.60680035729334</c:v>
                </c:pt>
                <c:pt idx="164">
                  <c:v>162.79616596483967</c:v>
                </c:pt>
                <c:pt idx="165">
                  <c:v>161.17656585882949</c:v>
                </c:pt>
                <c:pt idx="166">
                  <c:v>163.01029673037067</c:v>
                </c:pt>
                <c:pt idx="167">
                  <c:v>167.71881779007992</c:v>
                </c:pt>
                <c:pt idx="168">
                  <c:v>166.41533417748826</c:v>
                </c:pt>
                <c:pt idx="169">
                  <c:v>165.50521707549271</c:v>
                </c:pt>
                <c:pt idx="170">
                  <c:v>175.25992127761879</c:v>
                </c:pt>
                <c:pt idx="171">
                  <c:v>174.50484407668043</c:v>
                </c:pt>
                <c:pt idx="172">
                  <c:v>176.32198631683275</c:v>
                </c:pt>
                <c:pt idx="173">
                  <c:v>178.55718169950009</c:v>
                </c:pt>
                <c:pt idx="174">
                  <c:v>173.30486763450014</c:v>
                </c:pt>
                <c:pt idx="175">
                  <c:v>177.62689321436608</c:v>
                </c:pt>
                <c:pt idx="176">
                  <c:v>165.80793505894337</c:v>
                </c:pt>
                <c:pt idx="177">
                  <c:v>159.92279906161326</c:v>
                </c:pt>
                <c:pt idx="178">
                  <c:v>172.51523896463357</c:v>
                </c:pt>
                <c:pt idx="179">
                  <c:v>173.62049334000781</c:v>
                </c:pt>
                <c:pt idx="180">
                  <c:v>169.87470184634387</c:v>
                </c:pt>
                <c:pt idx="181">
                  <c:v>160.67664929277439</c:v>
                </c:pt>
                <c:pt idx="182">
                  <c:v>158.2125504284576</c:v>
                </c:pt>
                <c:pt idx="183">
                  <c:v>166.54318442828091</c:v>
                </c:pt>
                <c:pt idx="184">
                  <c:v>167.97353671584332</c:v>
                </c:pt>
                <c:pt idx="185">
                  <c:v>170.93190808523977</c:v>
                </c:pt>
                <c:pt idx="186">
                  <c:v>168.68272524711142</c:v>
                </c:pt>
                <c:pt idx="187">
                  <c:v>175.63203667167238</c:v>
                </c:pt>
                <c:pt idx="188">
                  <c:v>176.37096695034177</c:v>
                </c:pt>
                <c:pt idx="189">
                  <c:v>176.71476388193577</c:v>
                </c:pt>
                <c:pt idx="190">
                  <c:v>175.53225948938396</c:v>
                </c:pt>
                <c:pt idx="191">
                  <c:v>180.15592331929648</c:v>
                </c:pt>
                <c:pt idx="192">
                  <c:v>185.15719936786485</c:v>
                </c:pt>
                <c:pt idx="193">
                  <c:v>187.54056362083656</c:v>
                </c:pt>
                <c:pt idx="194">
                  <c:v>193.34781157670491</c:v>
                </c:pt>
                <c:pt idx="195">
                  <c:v>195.21152958960283</c:v>
                </c:pt>
                <c:pt idx="196">
                  <c:v>197.46130137322427</c:v>
                </c:pt>
                <c:pt idx="197">
                  <c:v>200.38782060720251</c:v>
                </c:pt>
                <c:pt idx="198">
                  <c:v>200.4332184889619</c:v>
                </c:pt>
                <c:pt idx="199">
                  <c:v>203.30265908890101</c:v>
                </c:pt>
                <c:pt idx="200">
                  <c:v>203.60365931466347</c:v>
                </c:pt>
                <c:pt idx="201">
                  <c:v>208.32827821785062</c:v>
                </c:pt>
                <c:pt idx="202">
                  <c:v>213.62383069780194</c:v>
                </c:pt>
                <c:pt idx="203">
                  <c:v>216.98499170568397</c:v>
                </c:pt>
                <c:pt idx="204">
                  <c:v>219.37871158357595</c:v>
                </c:pt>
                <c:pt idx="205">
                  <c:v>227.63950646367644</c:v>
                </c:pt>
                <c:pt idx="206">
                  <c:v>219.6012348223835</c:v>
                </c:pt>
                <c:pt idx="207">
                  <c:v>214.52992333892797</c:v>
                </c:pt>
                <c:pt idx="208">
                  <c:v>218.69347350236032</c:v>
                </c:pt>
                <c:pt idx="209">
                  <c:v>221.47354162372238</c:v>
                </c:pt>
                <c:pt idx="210">
                  <c:v>222.20299969571118</c:v>
                </c:pt>
                <c:pt idx="211">
                  <c:v>229.19285020171347</c:v>
                </c:pt>
                <c:pt idx="212">
                  <c:v>232.26159977227402</c:v>
                </c:pt>
                <c:pt idx="213">
                  <c:v>233.9517261010823</c:v>
                </c:pt>
                <c:pt idx="214">
                  <c:v>218.03351099855678</c:v>
                </c:pt>
                <c:pt idx="215">
                  <c:v>220.54109367178037</c:v>
                </c:pt>
                <c:pt idx="216">
                  <c:v>203.19890652453421</c:v>
                </c:pt>
                <c:pt idx="217">
                  <c:v>217.912580857308</c:v>
                </c:pt>
                <c:pt idx="218">
                  <c:v>225.18546875153336</c:v>
                </c:pt>
                <c:pt idx="219">
                  <c:v>228.8168085043726</c:v>
                </c:pt>
                <c:pt idx="220">
                  <c:v>237.43239396527147</c:v>
                </c:pt>
                <c:pt idx="221">
                  <c:v>223.90573927382985</c:v>
                </c:pt>
                <c:pt idx="222">
                  <c:v>237.10734513187435</c:v>
                </c:pt>
                <c:pt idx="223">
                  <c:v>239.91533908536729</c:v>
                </c:pt>
                <c:pt idx="224">
                  <c:v>235.23734503371679</c:v>
                </c:pt>
                <c:pt idx="225">
                  <c:v>240.73873396350464</c:v>
                </c:pt>
                <c:pt idx="226">
                  <c:v>245.26046114432071</c:v>
                </c:pt>
                <c:pt idx="227">
                  <c:v>252.98835851075276</c:v>
                </c:pt>
                <c:pt idx="228">
                  <c:v>258.74397557839313</c:v>
                </c:pt>
                <c:pt idx="229">
                  <c:v>258.09304357215029</c:v>
                </c:pt>
                <c:pt idx="230">
                  <c:v>237.19696300440688</c:v>
                </c:pt>
                <c:pt idx="231">
                  <c:v>206.74607615065187</c:v>
                </c:pt>
                <c:pt idx="232">
                  <c:v>228.47629985178168</c:v>
                </c:pt>
                <c:pt idx="233">
                  <c:v>239.26475063066206</c:v>
                </c:pt>
                <c:pt idx="234">
                  <c:v>244.91882367953474</c:v>
                </c:pt>
                <c:pt idx="235">
                  <c:v>253.22604709600756</c:v>
                </c:pt>
                <c:pt idx="236">
                  <c:v>269.0996986562223</c:v>
                </c:pt>
                <c:pt idx="237">
                  <c:v>261.32056303189103</c:v>
                </c:pt>
                <c:pt idx="238">
                  <c:v>253.34310001276009</c:v>
                </c:pt>
                <c:pt idx="239">
                  <c:v>283.67492171932781</c:v>
                </c:pt>
                <c:pt idx="240">
                  <c:v>293.6225055704424</c:v>
                </c:pt>
                <c:pt idx="241">
                  <c:v>291.35501634323708</c:v>
                </c:pt>
                <c:pt idx="242">
                  <c:v>299.06804283596853</c:v>
                </c:pt>
                <c:pt idx="243">
                  <c:v>311.65621288416389</c:v>
                </c:pt>
                <c:pt idx="244">
                  <c:v>324.25886117573117</c:v>
                </c:pt>
                <c:pt idx="245">
                  <c:v>327.60500407353931</c:v>
                </c:pt>
                <c:pt idx="246">
                  <c:v>335.27768779999377</c:v>
                </c:pt>
                <c:pt idx="247">
                  <c:v>341.02550133985062</c:v>
                </c:pt>
                <c:pt idx="248">
                  <c:v>350.14178862746212</c:v>
                </c:pt>
                <c:pt idx="249">
                  <c:v>337.2315144733351</c:v>
                </c:pt>
                <c:pt idx="250">
                  <c:v>355.79468378534858</c:v>
                </c:pt>
                <c:pt idx="251">
                  <c:v>350.57353475269156</c:v>
                </c:pt>
                <c:pt idx="252">
                  <c:v>364.58597131835404</c:v>
                </c:pt>
                <c:pt idx="253">
                  <c:v>346.60522002022009</c:v>
                </c:pt>
                <c:pt idx="254">
                  <c:v>337.41742493398868</c:v>
                </c:pt>
                <c:pt idx="255">
                  <c:v>347.90232338996992</c:v>
                </c:pt>
                <c:pt idx="256">
                  <c:v>323.91432806227084</c:v>
                </c:pt>
                <c:pt idx="257">
                  <c:v>323.15655152782244</c:v>
                </c:pt>
                <c:pt idx="258">
                  <c:v>298.03395270767658</c:v>
                </c:pt>
                <c:pt idx="259">
                  <c:v>321.80281123315331</c:v>
                </c:pt>
                <c:pt idx="260">
                  <c:v>310.67542232299695</c:v>
                </c:pt>
                <c:pt idx="261">
                  <c:v>284.87357303414865</c:v>
                </c:pt>
                <c:pt idx="262">
                  <c:v>305.22478086319745</c:v>
                </c:pt>
                <c:pt idx="263">
                  <c:v>322.48314143525982</c:v>
                </c:pt>
                <c:pt idx="264">
                  <c:v>306.10230964790844</c:v>
                </c:pt>
                <c:pt idx="265">
                  <c:v>326.00606613857849</c:v>
                </c:pt>
                <c:pt idx="266">
                  <c:v>320.89239965841119</c:v>
                </c:pt>
                <c:pt idx="267">
                  <c:v>328.86421861656663</c:v>
                </c:pt>
                <c:pt idx="268">
                  <c:v>334.13567341009218</c:v>
                </c:pt>
                <c:pt idx="269">
                  <c:v>333.41313544764728</c:v>
                </c:pt>
                <c:pt idx="270">
                  <c:v>352.37070192486976</c:v>
                </c:pt>
                <c:pt idx="271">
                  <c:v>362.64279474267943</c:v>
                </c:pt>
                <c:pt idx="272">
                  <c:v>356.27698106540191</c:v>
                </c:pt>
                <c:pt idx="273">
                  <c:v>343.11292048254222</c:v>
                </c:pt>
                <c:pt idx="274">
                  <c:v>334.10136733511933</c:v>
                </c:pt>
                <c:pt idx="275">
                  <c:v>361.82136301618567</c:v>
                </c:pt>
                <c:pt idx="276">
                  <c:v>376.87844165022472</c:v>
                </c:pt>
                <c:pt idx="277">
                  <c:v>383.61318060013485</c:v>
                </c:pt>
                <c:pt idx="278">
                  <c:v>401.29268627855095</c:v>
                </c:pt>
                <c:pt idx="279">
                  <c:v>414.90287307242988</c:v>
                </c:pt>
                <c:pt idx="280">
                  <c:v>401.46887913856852</c:v>
                </c:pt>
                <c:pt idx="281">
                  <c:v>417.79493899506207</c:v>
                </c:pt>
                <c:pt idx="282">
                  <c:v>427.49300627226893</c:v>
                </c:pt>
                <c:pt idx="283">
                  <c:v>432.82075443917614</c:v>
                </c:pt>
                <c:pt idx="284">
                  <c:v>440.89779832543104</c:v>
                </c:pt>
                <c:pt idx="285">
                  <c:v>447.5289319473477</c:v>
                </c:pt>
                <c:pt idx="286">
                  <c:v>443.41902490257803</c:v>
                </c:pt>
                <c:pt idx="287">
                  <c:v>465.06061230699709</c:v>
                </c:pt>
                <c:pt idx="288">
                  <c:v>456.15423500888272</c:v>
                </c:pt>
                <c:pt idx="289">
                  <c:v>471.92442847747719</c:v>
                </c:pt>
                <c:pt idx="290">
                  <c:v>467.41281152762593</c:v>
                </c:pt>
                <c:pt idx="291">
                  <c:v>443.96345593215307</c:v>
                </c:pt>
                <c:pt idx="292">
                  <c:v>442.29934136262307</c:v>
                </c:pt>
                <c:pt idx="293">
                  <c:v>468.51880208486654</c:v>
                </c:pt>
                <c:pt idx="294">
                  <c:v>486.2036082727206</c:v>
                </c:pt>
                <c:pt idx="295">
                  <c:v>496.05730439647766</c:v>
                </c:pt>
                <c:pt idx="296">
                  <c:v>506.2830177567061</c:v>
                </c:pt>
              </c:numCache>
            </c:numRef>
          </c:val>
          <c:smooth val="1"/>
          <c:extLst>
            <c:ext xmlns:c16="http://schemas.microsoft.com/office/drawing/2014/chart" uri="{C3380CC4-5D6E-409C-BE32-E72D297353CC}">
              <c16:uniqueId val="{00000001-FC64-4372-8D06-87213EDAAFB4}"/>
            </c:ext>
          </c:extLst>
        </c:ser>
        <c:ser>
          <c:idx val="2"/>
          <c:order val="2"/>
          <c:tx>
            <c:strRef>
              <c:f>'Monthly Raw Data'!$AC$4</c:f>
              <c:strCache>
                <c:ptCount val="1"/>
                <c:pt idx="0">
                  <c:v>Int'l Listed Equity (Unhedged) [G]</c:v>
                </c:pt>
              </c:strCache>
            </c:strRef>
          </c:tx>
          <c:spPr>
            <a:ln w="19050" cap="rnd">
              <a:solidFill>
                <a:schemeClr val="accent3"/>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Data'!$AC$5:$AC$301</c:f>
              <c:numCache>
                <c:formatCode>General</c:formatCode>
                <c:ptCount val="297"/>
                <c:pt idx="0">
                  <c:v>100</c:v>
                </c:pt>
                <c:pt idx="1">
                  <c:v>113.824</c:v>
                </c:pt>
                <c:pt idx="2">
                  <c:v>106.1</c:v>
                </c:pt>
                <c:pt idx="3">
                  <c:v>97.805999999999997</c:v>
                </c:pt>
                <c:pt idx="4">
                  <c:v>102.431</c:v>
                </c:pt>
                <c:pt idx="5">
                  <c:v>104.748</c:v>
                </c:pt>
                <c:pt idx="6">
                  <c:v>102.93</c:v>
                </c:pt>
                <c:pt idx="7">
                  <c:v>97.471999999999994</c:v>
                </c:pt>
                <c:pt idx="8">
                  <c:v>96.811999999999998</c:v>
                </c:pt>
                <c:pt idx="9">
                  <c:v>83.866</c:v>
                </c:pt>
                <c:pt idx="10">
                  <c:v>89.281999999999996</c:v>
                </c:pt>
                <c:pt idx="11">
                  <c:v>98.313000000000002</c:v>
                </c:pt>
                <c:pt idx="12">
                  <c:v>107.636</c:v>
                </c:pt>
                <c:pt idx="13">
                  <c:v>111.977</c:v>
                </c:pt>
                <c:pt idx="14">
                  <c:v>114.047</c:v>
                </c:pt>
                <c:pt idx="15">
                  <c:v>120.444</c:v>
                </c:pt>
                <c:pt idx="16">
                  <c:v>120.137</c:v>
                </c:pt>
                <c:pt idx="17">
                  <c:v>116.636</c:v>
                </c:pt>
                <c:pt idx="18">
                  <c:v>109.105</c:v>
                </c:pt>
                <c:pt idx="19">
                  <c:v>101.989</c:v>
                </c:pt>
                <c:pt idx="20">
                  <c:v>103.27800000000002</c:v>
                </c:pt>
                <c:pt idx="21">
                  <c:v>94.845000000000013</c:v>
                </c:pt>
                <c:pt idx="22">
                  <c:v>99.434000000000012</c:v>
                </c:pt>
                <c:pt idx="23">
                  <c:v>104.70099999999999</c:v>
                </c:pt>
                <c:pt idx="24">
                  <c:v>99.79</c:v>
                </c:pt>
                <c:pt idx="25">
                  <c:v>99.206999999999994</c:v>
                </c:pt>
                <c:pt idx="26">
                  <c:v>96.337000000000003</c:v>
                </c:pt>
                <c:pt idx="27">
                  <c:v>93.53</c:v>
                </c:pt>
                <c:pt idx="28">
                  <c:v>98.148999999999987</c:v>
                </c:pt>
                <c:pt idx="29">
                  <c:v>106.17499999999998</c:v>
                </c:pt>
                <c:pt idx="30">
                  <c:v>110.72899999999998</c:v>
                </c:pt>
                <c:pt idx="31">
                  <c:v>117.63200000000001</c:v>
                </c:pt>
                <c:pt idx="32">
                  <c:v>125.50599999999999</c:v>
                </c:pt>
                <c:pt idx="33">
                  <c:v>124.16199999999999</c:v>
                </c:pt>
                <c:pt idx="34">
                  <c:v>135.26400000000001</c:v>
                </c:pt>
                <c:pt idx="35">
                  <c:v>136.55500000000001</c:v>
                </c:pt>
                <c:pt idx="36">
                  <c:v>146.00399999999999</c:v>
                </c:pt>
                <c:pt idx="37">
                  <c:v>151.42400000000001</c:v>
                </c:pt>
                <c:pt idx="38">
                  <c:v>157.21100000000001</c:v>
                </c:pt>
                <c:pt idx="39">
                  <c:v>156.91</c:v>
                </c:pt>
                <c:pt idx="40">
                  <c:v>147.81800000000001</c:v>
                </c:pt>
                <c:pt idx="41">
                  <c:v>144.321</c:v>
                </c:pt>
                <c:pt idx="42">
                  <c:v>143.97</c:v>
                </c:pt>
                <c:pt idx="43">
                  <c:v>141.626</c:v>
                </c:pt>
                <c:pt idx="44">
                  <c:v>148.114</c:v>
                </c:pt>
                <c:pt idx="45">
                  <c:v>155.166</c:v>
                </c:pt>
                <c:pt idx="46">
                  <c:v>156.26000000000002</c:v>
                </c:pt>
                <c:pt idx="47">
                  <c:v>164.33900000000003</c:v>
                </c:pt>
                <c:pt idx="48">
                  <c:v>169.47800000000004</c:v>
                </c:pt>
                <c:pt idx="49">
                  <c:v>171.17800000000003</c:v>
                </c:pt>
                <c:pt idx="50">
                  <c:v>183.24300000000002</c:v>
                </c:pt>
                <c:pt idx="51">
                  <c:v>174.61100000000002</c:v>
                </c:pt>
                <c:pt idx="52">
                  <c:v>168.26800000000003</c:v>
                </c:pt>
                <c:pt idx="53">
                  <c:v>175.70800000000003</c:v>
                </c:pt>
                <c:pt idx="54">
                  <c:v>182.32800000000003</c:v>
                </c:pt>
                <c:pt idx="55">
                  <c:v>194.56400000000002</c:v>
                </c:pt>
                <c:pt idx="56">
                  <c:v>197.17100000000005</c:v>
                </c:pt>
                <c:pt idx="57">
                  <c:v>214.29500000000004</c:v>
                </c:pt>
                <c:pt idx="58">
                  <c:v>202.53400000000005</c:v>
                </c:pt>
                <c:pt idx="59">
                  <c:v>217.40600000000009</c:v>
                </c:pt>
                <c:pt idx="60">
                  <c:v>229.24000000000012</c:v>
                </c:pt>
                <c:pt idx="61">
                  <c:v>247.80400000000012</c:v>
                </c:pt>
                <c:pt idx="62">
                  <c:v>247.67200000000011</c:v>
                </c:pt>
                <c:pt idx="63">
                  <c:v>251.17800000000008</c:v>
                </c:pt>
                <c:pt idx="64">
                  <c:v>264.40600000000012</c:v>
                </c:pt>
                <c:pt idx="65">
                  <c:v>243.62400000000011</c:v>
                </c:pt>
                <c:pt idx="66">
                  <c:v>243.75500000000008</c:v>
                </c:pt>
                <c:pt idx="67">
                  <c:v>246.27800000000008</c:v>
                </c:pt>
                <c:pt idx="68">
                  <c:v>253.2650000000001</c:v>
                </c:pt>
                <c:pt idx="69">
                  <c:v>256.89100000000013</c:v>
                </c:pt>
                <c:pt idx="70">
                  <c:v>265.89900000000011</c:v>
                </c:pt>
                <c:pt idx="71">
                  <c:v>283.2650000000001</c:v>
                </c:pt>
                <c:pt idx="72">
                  <c:v>294.45300000000009</c:v>
                </c:pt>
                <c:pt idx="73">
                  <c:v>293.61200000000014</c:v>
                </c:pt>
                <c:pt idx="74">
                  <c:v>291.61200000000014</c:v>
                </c:pt>
                <c:pt idx="75">
                  <c:v>301.0680000000001</c:v>
                </c:pt>
                <c:pt idx="76">
                  <c:v>311.71500000000009</c:v>
                </c:pt>
                <c:pt idx="77">
                  <c:v>323.91400000000016</c:v>
                </c:pt>
                <c:pt idx="78">
                  <c:v>338.8760000000002</c:v>
                </c:pt>
                <c:pt idx="79">
                  <c:v>355.15300000000025</c:v>
                </c:pt>
                <c:pt idx="80">
                  <c:v>351.75400000000025</c:v>
                </c:pt>
                <c:pt idx="81">
                  <c:v>381.27300000000025</c:v>
                </c:pt>
                <c:pt idx="82">
                  <c:v>415.40900000000028</c:v>
                </c:pt>
                <c:pt idx="83">
                  <c:v>389.81400000000031</c:v>
                </c:pt>
                <c:pt idx="84">
                  <c:v>392.22800000000035</c:v>
                </c:pt>
                <c:pt idx="85">
                  <c:v>343.44800000000026</c:v>
                </c:pt>
                <c:pt idx="86">
                  <c:v>364.44300000000032</c:v>
                </c:pt>
                <c:pt idx="87">
                  <c:v>349.06300000000033</c:v>
                </c:pt>
                <c:pt idx="88">
                  <c:v>374.34300000000036</c:v>
                </c:pt>
                <c:pt idx="89">
                  <c:v>381.27400000000034</c:v>
                </c:pt>
                <c:pt idx="90">
                  <c:v>343.6100000000003</c:v>
                </c:pt>
                <c:pt idx="91">
                  <c:v>326.09400000000028</c:v>
                </c:pt>
                <c:pt idx="92">
                  <c:v>310.32100000000031</c:v>
                </c:pt>
                <c:pt idx="93">
                  <c:v>271.90100000000024</c:v>
                </c:pt>
                <c:pt idx="94">
                  <c:v>211.22700000000017</c:v>
                </c:pt>
                <c:pt idx="95">
                  <c:v>202.78800000000018</c:v>
                </c:pt>
                <c:pt idx="96">
                  <c:v>212.11000000000021</c:v>
                </c:pt>
                <c:pt idx="97">
                  <c:v>205.83500000000021</c:v>
                </c:pt>
                <c:pt idx="98">
                  <c:v>199.97300000000021</c:v>
                </c:pt>
                <c:pt idx="99">
                  <c:v>220.89200000000019</c:v>
                </c:pt>
                <c:pt idx="100">
                  <c:v>247.82200000000023</c:v>
                </c:pt>
                <c:pt idx="101">
                  <c:v>278.73300000000029</c:v>
                </c:pt>
                <c:pt idx="102">
                  <c:v>274.94600000000031</c:v>
                </c:pt>
                <c:pt idx="103">
                  <c:v>302.01500000000027</c:v>
                </c:pt>
                <c:pt idx="104">
                  <c:v>302.16000000000031</c:v>
                </c:pt>
                <c:pt idx="105">
                  <c:v>321.19400000000036</c:v>
                </c:pt>
                <c:pt idx="106">
                  <c:v>319.93300000000033</c:v>
                </c:pt>
                <c:pt idx="107">
                  <c:v>330.43200000000041</c:v>
                </c:pt>
                <c:pt idx="108">
                  <c:v>344.23600000000039</c:v>
                </c:pt>
                <c:pt idx="109">
                  <c:v>329.11000000000035</c:v>
                </c:pt>
                <c:pt idx="110">
                  <c:v>328.55500000000035</c:v>
                </c:pt>
                <c:pt idx="111">
                  <c:v>349.01500000000038</c:v>
                </c:pt>
                <c:pt idx="112">
                  <c:v>349.36500000000035</c:v>
                </c:pt>
                <c:pt idx="113">
                  <c:v>331.14500000000032</c:v>
                </c:pt>
                <c:pt idx="114">
                  <c:v>329.43400000000037</c:v>
                </c:pt>
                <c:pt idx="115">
                  <c:v>349.74800000000039</c:v>
                </c:pt>
                <c:pt idx="116">
                  <c:v>344.80400000000037</c:v>
                </c:pt>
                <c:pt idx="117">
                  <c:v>371.44200000000046</c:v>
                </c:pt>
                <c:pt idx="118">
                  <c:v>380.03200000000044</c:v>
                </c:pt>
                <c:pt idx="119">
                  <c:v>375.97100000000046</c:v>
                </c:pt>
                <c:pt idx="120">
                  <c:v>392.7650000000005</c:v>
                </c:pt>
                <c:pt idx="121">
                  <c:v>384.44100000000049</c:v>
                </c:pt>
                <c:pt idx="122">
                  <c:v>379.06400000000053</c:v>
                </c:pt>
                <c:pt idx="123">
                  <c:v>395.33300000000054</c:v>
                </c:pt>
                <c:pt idx="124">
                  <c:v>398.5150000000005</c:v>
                </c:pt>
                <c:pt idx="125">
                  <c:v>392.16800000000052</c:v>
                </c:pt>
                <c:pt idx="126">
                  <c:v>384.74300000000051</c:v>
                </c:pt>
                <c:pt idx="127">
                  <c:v>381.05600000000049</c:v>
                </c:pt>
                <c:pt idx="128">
                  <c:v>353.12800000000044</c:v>
                </c:pt>
                <c:pt idx="129">
                  <c:v>326.92500000000047</c:v>
                </c:pt>
                <c:pt idx="130">
                  <c:v>356.54100000000045</c:v>
                </c:pt>
                <c:pt idx="131">
                  <c:v>342.80700000000047</c:v>
                </c:pt>
                <c:pt idx="132">
                  <c:v>342.74600000000044</c:v>
                </c:pt>
                <c:pt idx="133">
                  <c:v>368.16500000000053</c:v>
                </c:pt>
                <c:pt idx="134">
                  <c:v>384.8490000000005</c:v>
                </c:pt>
                <c:pt idx="135">
                  <c:v>379.39400000000052</c:v>
                </c:pt>
                <c:pt idx="136">
                  <c:v>377.2290000000005</c:v>
                </c:pt>
                <c:pt idx="137">
                  <c:v>351.90600000000046</c:v>
                </c:pt>
                <c:pt idx="138">
                  <c:v>359.4450000000005</c:v>
                </c:pt>
                <c:pt idx="139">
                  <c:v>365.7480000000005</c:v>
                </c:pt>
                <c:pt idx="140">
                  <c:v>365.06700000000052</c:v>
                </c:pt>
                <c:pt idx="141">
                  <c:v>380.6710000000005</c:v>
                </c:pt>
                <c:pt idx="142">
                  <c:v>379.67200000000054</c:v>
                </c:pt>
                <c:pt idx="143">
                  <c:v>385.76800000000048</c:v>
                </c:pt>
                <c:pt idx="144">
                  <c:v>400.96900000000051</c:v>
                </c:pt>
                <c:pt idx="145">
                  <c:v>406.50600000000043</c:v>
                </c:pt>
                <c:pt idx="146">
                  <c:v>402.54200000000043</c:v>
                </c:pt>
                <c:pt idx="147">
                  <c:v>398.98900000000043</c:v>
                </c:pt>
                <c:pt idx="148">
                  <c:v>398.64000000000044</c:v>
                </c:pt>
                <c:pt idx="149">
                  <c:v>401.81400000000048</c:v>
                </c:pt>
                <c:pt idx="150">
                  <c:v>381.35100000000045</c:v>
                </c:pt>
                <c:pt idx="151">
                  <c:v>386.90700000000049</c:v>
                </c:pt>
                <c:pt idx="152">
                  <c:v>386.52600000000052</c:v>
                </c:pt>
                <c:pt idx="153">
                  <c:v>402.8370000000005</c:v>
                </c:pt>
                <c:pt idx="154">
                  <c:v>419.0150000000005</c:v>
                </c:pt>
                <c:pt idx="155">
                  <c:v>418.85800000000052</c:v>
                </c:pt>
                <c:pt idx="156">
                  <c:v>414.74600000000049</c:v>
                </c:pt>
                <c:pt idx="157">
                  <c:v>396.29300000000052</c:v>
                </c:pt>
                <c:pt idx="158">
                  <c:v>404.85900000000049</c:v>
                </c:pt>
                <c:pt idx="159">
                  <c:v>412.53900000000056</c:v>
                </c:pt>
                <c:pt idx="160">
                  <c:v>411.82000000000056</c:v>
                </c:pt>
                <c:pt idx="161">
                  <c:v>423.5830000000006</c:v>
                </c:pt>
                <c:pt idx="162">
                  <c:v>433.72700000000054</c:v>
                </c:pt>
                <c:pt idx="163">
                  <c:v>446.62600000000049</c:v>
                </c:pt>
                <c:pt idx="164">
                  <c:v>455.49600000000049</c:v>
                </c:pt>
                <c:pt idx="165">
                  <c:v>436.13800000000049</c:v>
                </c:pt>
                <c:pt idx="166">
                  <c:v>442.3330000000006</c:v>
                </c:pt>
                <c:pt idx="167">
                  <c:v>447.31600000000049</c:v>
                </c:pt>
                <c:pt idx="168">
                  <c:v>436.1930000000005</c:v>
                </c:pt>
                <c:pt idx="169">
                  <c:v>442.38900000000052</c:v>
                </c:pt>
                <c:pt idx="170">
                  <c:v>456.92500000000058</c:v>
                </c:pt>
                <c:pt idx="171">
                  <c:v>457.57500000000061</c:v>
                </c:pt>
                <c:pt idx="172">
                  <c:v>483.55600000000067</c:v>
                </c:pt>
                <c:pt idx="173">
                  <c:v>471.40100000000069</c:v>
                </c:pt>
                <c:pt idx="174">
                  <c:v>460.76200000000068</c:v>
                </c:pt>
                <c:pt idx="175">
                  <c:v>440.68500000000068</c:v>
                </c:pt>
                <c:pt idx="176">
                  <c:v>412.08400000000063</c:v>
                </c:pt>
                <c:pt idx="177">
                  <c:v>405.03300000000064</c:v>
                </c:pt>
                <c:pt idx="178">
                  <c:v>427.00400000000064</c:v>
                </c:pt>
                <c:pt idx="179">
                  <c:v>415.52800000000059</c:v>
                </c:pt>
                <c:pt idx="180">
                  <c:v>411.07800000000054</c:v>
                </c:pt>
                <c:pt idx="181">
                  <c:v>389.60500000000053</c:v>
                </c:pt>
                <c:pt idx="182">
                  <c:v>389.85700000000054</c:v>
                </c:pt>
                <c:pt idx="183">
                  <c:v>422.32100000000054</c:v>
                </c:pt>
                <c:pt idx="184">
                  <c:v>421.99400000000054</c:v>
                </c:pt>
                <c:pt idx="185">
                  <c:v>418.59400000000051</c:v>
                </c:pt>
                <c:pt idx="186">
                  <c:v>425.26100000000054</c:v>
                </c:pt>
                <c:pt idx="187">
                  <c:v>443.27800000000053</c:v>
                </c:pt>
                <c:pt idx="188">
                  <c:v>455.51000000000056</c:v>
                </c:pt>
                <c:pt idx="189">
                  <c:v>457.52600000000064</c:v>
                </c:pt>
                <c:pt idx="190">
                  <c:v>460.33300000000071</c:v>
                </c:pt>
                <c:pt idx="191">
                  <c:v>450.30100000000061</c:v>
                </c:pt>
                <c:pt idx="192">
                  <c:v>450.93000000000058</c:v>
                </c:pt>
                <c:pt idx="193">
                  <c:v>468.84100000000058</c:v>
                </c:pt>
                <c:pt idx="194">
                  <c:v>476.72800000000063</c:v>
                </c:pt>
                <c:pt idx="195">
                  <c:v>485.94100000000066</c:v>
                </c:pt>
                <c:pt idx="196">
                  <c:v>497.24100000000067</c:v>
                </c:pt>
                <c:pt idx="197">
                  <c:v>509.48200000000065</c:v>
                </c:pt>
                <c:pt idx="198">
                  <c:v>517.83200000000068</c:v>
                </c:pt>
                <c:pt idx="199">
                  <c:v>543.15000000000066</c:v>
                </c:pt>
                <c:pt idx="200">
                  <c:v>554.60300000000063</c:v>
                </c:pt>
                <c:pt idx="201">
                  <c:v>557.06500000000074</c:v>
                </c:pt>
                <c:pt idx="202">
                  <c:v>578.74300000000073</c:v>
                </c:pt>
                <c:pt idx="203">
                  <c:v>573.98200000000065</c:v>
                </c:pt>
                <c:pt idx="204">
                  <c:v>588.69300000000067</c:v>
                </c:pt>
                <c:pt idx="205">
                  <c:v>628.53800000000069</c:v>
                </c:pt>
                <c:pt idx="206">
                  <c:v>604.21600000000069</c:v>
                </c:pt>
                <c:pt idx="207">
                  <c:v>592.90900000000067</c:v>
                </c:pt>
                <c:pt idx="208">
                  <c:v>599.81600000000071</c:v>
                </c:pt>
                <c:pt idx="209">
                  <c:v>586.52900000000068</c:v>
                </c:pt>
                <c:pt idx="210">
                  <c:v>572.07200000000068</c:v>
                </c:pt>
                <c:pt idx="211">
                  <c:v>581.76700000000073</c:v>
                </c:pt>
                <c:pt idx="212">
                  <c:v>578.56800000000067</c:v>
                </c:pt>
                <c:pt idx="213">
                  <c:v>571.8550000000007</c:v>
                </c:pt>
                <c:pt idx="214">
                  <c:v>527.37800000000061</c:v>
                </c:pt>
                <c:pt idx="215">
                  <c:v>543.02600000000064</c:v>
                </c:pt>
                <c:pt idx="216">
                  <c:v>529.41200000000072</c:v>
                </c:pt>
                <c:pt idx="217">
                  <c:v>567.34000000000071</c:v>
                </c:pt>
                <c:pt idx="218">
                  <c:v>573.56300000000067</c:v>
                </c:pt>
                <c:pt idx="219">
                  <c:v>581.43000000000063</c:v>
                </c:pt>
                <c:pt idx="220">
                  <c:v>596.32400000000064</c:v>
                </c:pt>
                <c:pt idx="221">
                  <c:v>556.94700000000057</c:v>
                </c:pt>
                <c:pt idx="222">
                  <c:v>582.59800000000052</c:v>
                </c:pt>
                <c:pt idx="223">
                  <c:v>576.84900000000061</c:v>
                </c:pt>
                <c:pt idx="224">
                  <c:v>562.25800000000061</c:v>
                </c:pt>
                <c:pt idx="225">
                  <c:v>570.52600000000052</c:v>
                </c:pt>
                <c:pt idx="226">
                  <c:v>587.61800000000073</c:v>
                </c:pt>
                <c:pt idx="227">
                  <c:v>591.05100000000073</c:v>
                </c:pt>
                <c:pt idx="228">
                  <c:v>624.95200000000068</c:v>
                </c:pt>
                <c:pt idx="229">
                  <c:v>604.3840000000007</c:v>
                </c:pt>
                <c:pt idx="230">
                  <c:v>581.2060000000007</c:v>
                </c:pt>
                <c:pt idx="231">
                  <c:v>505.87500000000063</c:v>
                </c:pt>
                <c:pt idx="232">
                  <c:v>550.37400000000071</c:v>
                </c:pt>
                <c:pt idx="233">
                  <c:v>553.86700000000064</c:v>
                </c:pt>
                <c:pt idx="234">
                  <c:v>590.57700000000068</c:v>
                </c:pt>
                <c:pt idx="235">
                  <c:v>638.51200000000074</c:v>
                </c:pt>
                <c:pt idx="236">
                  <c:v>652.39300000000082</c:v>
                </c:pt>
                <c:pt idx="237">
                  <c:v>641.63400000000081</c:v>
                </c:pt>
                <c:pt idx="238">
                  <c:v>651.21200000000078</c:v>
                </c:pt>
                <c:pt idx="239">
                  <c:v>701.84000000000094</c:v>
                </c:pt>
                <c:pt idx="240">
                  <c:v>744.4140000000009</c:v>
                </c:pt>
                <c:pt idx="241">
                  <c:v>772.74200000000098</c:v>
                </c:pt>
                <c:pt idx="242">
                  <c:v>780.72500000000093</c:v>
                </c:pt>
                <c:pt idx="243">
                  <c:v>773.92400000000089</c:v>
                </c:pt>
                <c:pt idx="244">
                  <c:v>786.33300000000088</c:v>
                </c:pt>
                <c:pt idx="245">
                  <c:v>796.93400000000099</c:v>
                </c:pt>
                <c:pt idx="246">
                  <c:v>803.57900000000097</c:v>
                </c:pt>
                <c:pt idx="247">
                  <c:v>754.51900000000091</c:v>
                </c:pt>
                <c:pt idx="248">
                  <c:v>771.57500000000095</c:v>
                </c:pt>
                <c:pt idx="249">
                  <c:v>749.81400000000087</c:v>
                </c:pt>
                <c:pt idx="250">
                  <c:v>756.50100000000089</c:v>
                </c:pt>
                <c:pt idx="251">
                  <c:v>732.1300000000009</c:v>
                </c:pt>
                <c:pt idx="252">
                  <c:v>742.99900000000082</c:v>
                </c:pt>
                <c:pt idx="253">
                  <c:v>729.69500000000085</c:v>
                </c:pt>
                <c:pt idx="254">
                  <c:v>712.31000000000074</c:v>
                </c:pt>
                <c:pt idx="255">
                  <c:v>697.61700000000076</c:v>
                </c:pt>
                <c:pt idx="256">
                  <c:v>673.05900000000076</c:v>
                </c:pt>
                <c:pt idx="257">
                  <c:v>671.92400000000077</c:v>
                </c:pt>
                <c:pt idx="258">
                  <c:v>641.3170000000008</c:v>
                </c:pt>
                <c:pt idx="259">
                  <c:v>642.02700000000084</c:v>
                </c:pt>
                <c:pt idx="260">
                  <c:v>649.78100000000074</c:v>
                </c:pt>
                <c:pt idx="261">
                  <c:v>588.8260000000007</c:v>
                </c:pt>
                <c:pt idx="262">
                  <c:v>573.35800000000063</c:v>
                </c:pt>
                <c:pt idx="263">
                  <c:v>640.34000000000083</c:v>
                </c:pt>
                <c:pt idx="264">
                  <c:v>627.53900000000078</c:v>
                </c:pt>
                <c:pt idx="265">
                  <c:v>668.60100000000091</c:v>
                </c:pt>
                <c:pt idx="266">
                  <c:v>637.48000000000093</c:v>
                </c:pt>
                <c:pt idx="267">
                  <c:v>651.2550000000009</c:v>
                </c:pt>
                <c:pt idx="268">
                  <c:v>646.71300000000087</c:v>
                </c:pt>
                <c:pt idx="269">
                  <c:v>640.30700000000093</c:v>
                </c:pt>
                <c:pt idx="270">
                  <c:v>662.37400000000093</c:v>
                </c:pt>
                <c:pt idx="271">
                  <c:v>697.50700000000097</c:v>
                </c:pt>
                <c:pt idx="272">
                  <c:v>664.86400000000094</c:v>
                </c:pt>
                <c:pt idx="273">
                  <c:v>652.93000000000086</c:v>
                </c:pt>
                <c:pt idx="274">
                  <c:v>629.46400000000096</c:v>
                </c:pt>
                <c:pt idx="275">
                  <c:v>668.36500000000103</c:v>
                </c:pt>
                <c:pt idx="276">
                  <c:v>689.36900000000117</c:v>
                </c:pt>
                <c:pt idx="277">
                  <c:v>665.33700000000113</c:v>
                </c:pt>
                <c:pt idx="278">
                  <c:v>699.24300000000119</c:v>
                </c:pt>
                <c:pt idx="279">
                  <c:v>720.34600000000114</c:v>
                </c:pt>
                <c:pt idx="280">
                  <c:v>730.44300000000112</c:v>
                </c:pt>
                <c:pt idx="281">
                  <c:v>733.92500000000109</c:v>
                </c:pt>
                <c:pt idx="282">
                  <c:v>765.18400000000122</c:v>
                </c:pt>
                <c:pt idx="283">
                  <c:v>769.80800000000136</c:v>
                </c:pt>
                <c:pt idx="284">
                  <c:v>772.90800000000149</c:v>
                </c:pt>
                <c:pt idx="285">
                  <c:v>815.86000000000161</c:v>
                </c:pt>
                <c:pt idx="286">
                  <c:v>792.41400000000147</c:v>
                </c:pt>
                <c:pt idx="287">
                  <c:v>770.6960000000015</c:v>
                </c:pt>
                <c:pt idx="288">
                  <c:v>779.83900000000153</c:v>
                </c:pt>
                <c:pt idx="289">
                  <c:v>792.30100000000164</c:v>
                </c:pt>
                <c:pt idx="290">
                  <c:v>798.13100000000156</c:v>
                </c:pt>
                <c:pt idx="291">
                  <c:v>800.51300000000163</c:v>
                </c:pt>
                <c:pt idx="292">
                  <c:v>798.80500000000154</c:v>
                </c:pt>
                <c:pt idx="293">
                  <c:v>823.79800000000171</c:v>
                </c:pt>
                <c:pt idx="294">
                  <c:v>864.01100000000179</c:v>
                </c:pt>
                <c:pt idx="295">
                  <c:v>893.16600000000187</c:v>
                </c:pt>
                <c:pt idx="296">
                  <c:v>905.42500000000177</c:v>
                </c:pt>
              </c:numCache>
            </c:numRef>
          </c:val>
          <c:smooth val="1"/>
          <c:extLst>
            <c:ext xmlns:c16="http://schemas.microsoft.com/office/drawing/2014/chart" uri="{C3380CC4-5D6E-409C-BE32-E72D297353CC}">
              <c16:uniqueId val="{00000002-FC64-4372-8D06-87213EDAAFB4}"/>
            </c:ext>
          </c:extLst>
        </c:ser>
        <c:ser>
          <c:idx val="5"/>
          <c:order val="3"/>
          <c:tx>
            <c:strRef>
              <c:f>'Monthly Raw Data'!$AD$4</c:f>
              <c:strCache>
                <c:ptCount val="1"/>
                <c:pt idx="0">
                  <c:v>Australian Listed Property [G]</c:v>
                </c:pt>
              </c:strCache>
            </c:strRef>
          </c:tx>
          <c:spPr>
            <a:ln w="19050" cap="rnd">
              <a:solidFill>
                <a:schemeClr val="accent6"/>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Data'!$AD$5:$AD$301</c:f>
              <c:numCache>
                <c:formatCode>General</c:formatCode>
                <c:ptCount val="297"/>
                <c:pt idx="0">
                  <c:v>100</c:v>
                </c:pt>
                <c:pt idx="1">
                  <c:v>98.614232527371854</c:v>
                </c:pt>
                <c:pt idx="2">
                  <c:v>98.102838533495017</c:v>
                </c:pt>
                <c:pt idx="3">
                  <c:v>94.318692595388114</c:v>
                </c:pt>
                <c:pt idx="4">
                  <c:v>95.712092814193497</c:v>
                </c:pt>
                <c:pt idx="5">
                  <c:v>95.333847836964523</c:v>
                </c:pt>
                <c:pt idx="6">
                  <c:v>100.57584829492932</c:v>
                </c:pt>
                <c:pt idx="7">
                  <c:v>100.61486010872423</c:v>
                </c:pt>
                <c:pt idx="8">
                  <c:v>105.48624833563728</c:v>
                </c:pt>
                <c:pt idx="9">
                  <c:v>105.26744294522233</c:v>
                </c:pt>
                <c:pt idx="10">
                  <c:v>105.51677932034636</c:v>
                </c:pt>
                <c:pt idx="11">
                  <c:v>104.81880708658078</c:v>
                </c:pt>
                <c:pt idx="12">
                  <c:v>108.23573312527031</c:v>
                </c:pt>
                <c:pt idx="13">
                  <c:v>108.30527592377429</c:v>
                </c:pt>
                <c:pt idx="14">
                  <c:v>105.96371901317072</c:v>
                </c:pt>
                <c:pt idx="15">
                  <c:v>107.10693477394348</c:v>
                </c:pt>
                <c:pt idx="16">
                  <c:v>107.81508400261207</c:v>
                </c:pt>
                <c:pt idx="17">
                  <c:v>108.92692069576721</c:v>
                </c:pt>
                <c:pt idx="18">
                  <c:v>108.21622721837285</c:v>
                </c:pt>
                <c:pt idx="19">
                  <c:v>106.00781932441714</c:v>
                </c:pt>
                <c:pt idx="20">
                  <c:v>106.88473705189418</c:v>
                </c:pt>
                <c:pt idx="21">
                  <c:v>107.43259861084019</c:v>
                </c:pt>
                <c:pt idx="22">
                  <c:v>108.38753996590705</c:v>
                </c:pt>
                <c:pt idx="23">
                  <c:v>111.72135387955525</c:v>
                </c:pt>
                <c:pt idx="24">
                  <c:v>112.32942932501081</c:v>
                </c:pt>
                <c:pt idx="25">
                  <c:v>112.46851492201878</c:v>
                </c:pt>
                <c:pt idx="26">
                  <c:v>108.49439841238879</c:v>
                </c:pt>
                <c:pt idx="27">
                  <c:v>113.87209213572719</c:v>
                </c:pt>
                <c:pt idx="28">
                  <c:v>116.54524946358755</c:v>
                </c:pt>
                <c:pt idx="29">
                  <c:v>120.76531001670722</c:v>
                </c:pt>
                <c:pt idx="30">
                  <c:v>117.09735143707647</c:v>
                </c:pt>
                <c:pt idx="31">
                  <c:v>118.13964533172762</c:v>
                </c:pt>
                <c:pt idx="32">
                  <c:v>118.18374564297405</c:v>
                </c:pt>
                <c:pt idx="33">
                  <c:v>114.94576509799596</c:v>
                </c:pt>
                <c:pt idx="34">
                  <c:v>117.79193133920771</c:v>
                </c:pt>
                <c:pt idx="35">
                  <c:v>119.83750731471508</c:v>
                </c:pt>
                <c:pt idx="36">
                  <c:v>122.21468370747922</c:v>
                </c:pt>
                <c:pt idx="37">
                  <c:v>122.02047272141323</c:v>
                </c:pt>
                <c:pt idx="38">
                  <c:v>125.84193430749787</c:v>
                </c:pt>
                <c:pt idx="39">
                  <c:v>130.0594506118918</c:v>
                </c:pt>
                <c:pt idx="40">
                  <c:v>126.97666923918482</c:v>
                </c:pt>
                <c:pt idx="41">
                  <c:v>134.46354515617446</c:v>
                </c:pt>
                <c:pt idx="42">
                  <c:v>135.80097190301322</c:v>
                </c:pt>
                <c:pt idx="43">
                  <c:v>143.72291435210704</c:v>
                </c:pt>
                <c:pt idx="44">
                  <c:v>145.63279706224077</c:v>
                </c:pt>
                <c:pt idx="45">
                  <c:v>149.07686175400502</c:v>
                </c:pt>
                <c:pt idx="46">
                  <c:v>151.46506322458077</c:v>
                </c:pt>
                <c:pt idx="47">
                  <c:v>156.09389973963849</c:v>
                </c:pt>
                <c:pt idx="48">
                  <c:v>164.25924198349622</c:v>
                </c:pt>
                <c:pt idx="49">
                  <c:v>164.98350478742793</c:v>
                </c:pt>
                <c:pt idx="50">
                  <c:v>162.60463222884661</c:v>
                </c:pt>
                <c:pt idx="51">
                  <c:v>160.53870226353322</c:v>
                </c:pt>
                <c:pt idx="52">
                  <c:v>161.23073791693869</c:v>
                </c:pt>
                <c:pt idx="53">
                  <c:v>162.46215430020436</c:v>
                </c:pt>
                <c:pt idx="54">
                  <c:v>169.73022482677902</c:v>
                </c:pt>
                <c:pt idx="55">
                  <c:v>173.87650216685179</c:v>
                </c:pt>
                <c:pt idx="56">
                  <c:v>177.11702696055562</c:v>
                </c:pt>
                <c:pt idx="57">
                  <c:v>177.3281996047933</c:v>
                </c:pt>
                <c:pt idx="58">
                  <c:v>174.12838279070155</c:v>
                </c:pt>
                <c:pt idx="59">
                  <c:v>180.06581123370614</c:v>
                </c:pt>
                <c:pt idx="60">
                  <c:v>189.64999618362683</c:v>
                </c:pt>
                <c:pt idx="61">
                  <c:v>187.40936113914492</c:v>
                </c:pt>
                <c:pt idx="62">
                  <c:v>193.88617031200965</c:v>
                </c:pt>
                <c:pt idx="63">
                  <c:v>192.79468760866058</c:v>
                </c:pt>
                <c:pt idx="64">
                  <c:v>192.28498978060088</c:v>
                </c:pt>
                <c:pt idx="65">
                  <c:v>189.66695784179856</c:v>
                </c:pt>
                <c:pt idx="66">
                  <c:v>201.39000788717101</c:v>
                </c:pt>
                <c:pt idx="67">
                  <c:v>206.22323238319774</c:v>
                </c:pt>
                <c:pt idx="68">
                  <c:v>213.88396529644734</c:v>
                </c:pt>
                <c:pt idx="69">
                  <c:v>222.05863645229957</c:v>
                </c:pt>
                <c:pt idx="70">
                  <c:v>224.06011211656053</c:v>
                </c:pt>
                <c:pt idx="71">
                  <c:v>235.77213708412134</c:v>
                </c:pt>
                <c:pt idx="72">
                  <c:v>252.62269639479956</c:v>
                </c:pt>
                <c:pt idx="73">
                  <c:v>259.10374598220722</c:v>
                </c:pt>
                <c:pt idx="74">
                  <c:v>257.39401083849958</c:v>
                </c:pt>
                <c:pt idx="75">
                  <c:v>247.29164723143333</c:v>
                </c:pt>
                <c:pt idx="76">
                  <c:v>255.45274906074818</c:v>
                </c:pt>
                <c:pt idx="77">
                  <c:v>266.26410997939161</c:v>
                </c:pt>
                <c:pt idx="78">
                  <c:v>253.24010075224959</c:v>
                </c:pt>
                <c:pt idx="79">
                  <c:v>241.72228677075472</c:v>
                </c:pt>
                <c:pt idx="80">
                  <c:v>261.29773646671703</c:v>
                </c:pt>
                <c:pt idx="81">
                  <c:v>266.86964117612143</c:v>
                </c:pt>
                <c:pt idx="82">
                  <c:v>266.28616013501488</c:v>
                </c:pt>
                <c:pt idx="83">
                  <c:v>249.66712745838041</c:v>
                </c:pt>
                <c:pt idx="84">
                  <c:v>233.24909043108062</c:v>
                </c:pt>
                <c:pt idx="85">
                  <c:v>199.60564144750799</c:v>
                </c:pt>
                <c:pt idx="86">
                  <c:v>190.1783518356755</c:v>
                </c:pt>
                <c:pt idx="87">
                  <c:v>190.06131639429077</c:v>
                </c:pt>
                <c:pt idx="88">
                  <c:v>198.19443148762227</c:v>
                </c:pt>
                <c:pt idx="89">
                  <c:v>181.02075258877309</c:v>
                </c:pt>
                <c:pt idx="90">
                  <c:v>162.45536963693573</c:v>
                </c:pt>
                <c:pt idx="91">
                  <c:v>153.9855656288959</c:v>
                </c:pt>
                <c:pt idx="92">
                  <c:v>169.77093280639116</c:v>
                </c:pt>
                <c:pt idx="93">
                  <c:v>159.54898950921441</c:v>
                </c:pt>
                <c:pt idx="94">
                  <c:v>121.18171872482255</c:v>
                </c:pt>
                <c:pt idx="95">
                  <c:v>118.36269113668553</c:v>
                </c:pt>
                <c:pt idx="96">
                  <c:v>104.51264915658153</c:v>
                </c:pt>
                <c:pt idx="97">
                  <c:v>94.350919745914354</c:v>
                </c:pt>
                <c:pt idx="98">
                  <c:v>79.733362733540829</c:v>
                </c:pt>
                <c:pt idx="99">
                  <c:v>79.244018895287212</c:v>
                </c:pt>
                <c:pt idx="100">
                  <c:v>83.723592818433957</c:v>
                </c:pt>
                <c:pt idx="101">
                  <c:v>85.019463502752046</c:v>
                </c:pt>
                <c:pt idx="102">
                  <c:v>88.274405705901827</c:v>
                </c:pt>
                <c:pt idx="103">
                  <c:v>90.394612977364673</c:v>
                </c:pt>
                <c:pt idx="104">
                  <c:v>103.90881412566895</c:v>
                </c:pt>
                <c:pt idx="105">
                  <c:v>113.6956908907415</c:v>
                </c:pt>
                <c:pt idx="106">
                  <c:v>103.28377702204169</c:v>
                </c:pt>
                <c:pt idx="107">
                  <c:v>104.57964770635981</c:v>
                </c:pt>
                <c:pt idx="108">
                  <c:v>107.94823301925999</c:v>
                </c:pt>
                <c:pt idx="109">
                  <c:v>104.96298118104029</c:v>
                </c:pt>
                <c:pt idx="110">
                  <c:v>106.39878554527493</c:v>
                </c:pt>
                <c:pt idx="111">
                  <c:v>106.46832834377894</c:v>
                </c:pt>
                <c:pt idx="112">
                  <c:v>110.69178122853293</c:v>
                </c:pt>
                <c:pt idx="113">
                  <c:v>106.4462781881557</c:v>
                </c:pt>
                <c:pt idx="114">
                  <c:v>105.30306242738293</c:v>
                </c:pt>
                <c:pt idx="115">
                  <c:v>106.33857165876537</c:v>
                </c:pt>
                <c:pt idx="116">
                  <c:v>110.60273252313149</c:v>
                </c:pt>
                <c:pt idx="117">
                  <c:v>109.54686930194299</c:v>
                </c:pt>
                <c:pt idx="118">
                  <c:v>109.3060137559048</c:v>
                </c:pt>
                <c:pt idx="119">
                  <c:v>106.83639632610486</c:v>
                </c:pt>
                <c:pt idx="120">
                  <c:v>108.35616089828945</c:v>
                </c:pt>
                <c:pt idx="121">
                  <c:v>111.01150848506953</c:v>
                </c:pt>
                <c:pt idx="122">
                  <c:v>114.39027079287273</c:v>
                </c:pt>
                <c:pt idx="123">
                  <c:v>112.19797647418014</c:v>
                </c:pt>
                <c:pt idx="124">
                  <c:v>112.34045440282244</c:v>
                </c:pt>
                <c:pt idx="125">
                  <c:v>112.39982020642339</c:v>
                </c:pt>
                <c:pt idx="126">
                  <c:v>111.46947325570548</c:v>
                </c:pt>
                <c:pt idx="127">
                  <c:v>104.1106578579122</c:v>
                </c:pt>
                <c:pt idx="128">
                  <c:v>107.44447177156042</c:v>
                </c:pt>
                <c:pt idx="129">
                  <c:v>102.58919711991047</c:v>
                </c:pt>
                <c:pt idx="130">
                  <c:v>106.25800378244979</c:v>
                </c:pt>
                <c:pt idx="131">
                  <c:v>109.03971572260906</c:v>
                </c:pt>
                <c:pt idx="132">
                  <c:v>106.19948606175741</c:v>
                </c:pt>
                <c:pt idx="133">
                  <c:v>112.1877994792771</c:v>
                </c:pt>
                <c:pt idx="134">
                  <c:v>114.67183431852301</c:v>
                </c:pt>
                <c:pt idx="135">
                  <c:v>114.00100073783216</c:v>
                </c:pt>
                <c:pt idx="136">
                  <c:v>120.39469778565554</c:v>
                </c:pt>
                <c:pt idx="137">
                  <c:v>118.82913673640738</c:v>
                </c:pt>
                <c:pt idx="138">
                  <c:v>123.81586423888801</c:v>
                </c:pt>
                <c:pt idx="139">
                  <c:v>130.61324875119791</c:v>
                </c:pt>
                <c:pt idx="140">
                  <c:v>130.60985641956358</c:v>
                </c:pt>
                <c:pt idx="141">
                  <c:v>132.09315342667901</c:v>
                </c:pt>
                <c:pt idx="142">
                  <c:v>139.04997752580292</c:v>
                </c:pt>
                <c:pt idx="143">
                  <c:v>137.11719657713738</c:v>
                </c:pt>
                <c:pt idx="144">
                  <c:v>140.3483924588468</c:v>
                </c:pt>
                <c:pt idx="145">
                  <c:v>146.64116764054856</c:v>
                </c:pt>
                <c:pt idx="146">
                  <c:v>151.70761493643622</c:v>
                </c:pt>
                <c:pt idx="147">
                  <c:v>147.37391127356614</c:v>
                </c:pt>
                <c:pt idx="148">
                  <c:v>159.56001458702607</c:v>
                </c:pt>
                <c:pt idx="149">
                  <c:v>153.72181184432594</c:v>
                </c:pt>
                <c:pt idx="150">
                  <c:v>152.32417121097762</c:v>
                </c:pt>
                <c:pt idx="151">
                  <c:v>151.06137576009436</c:v>
                </c:pt>
                <c:pt idx="152">
                  <c:v>151.03254094120246</c:v>
                </c:pt>
                <c:pt idx="153">
                  <c:v>152.64474655042284</c:v>
                </c:pt>
                <c:pt idx="154">
                  <c:v>156.48741020922213</c:v>
                </c:pt>
                <c:pt idx="155">
                  <c:v>152.02649411006428</c:v>
                </c:pt>
                <c:pt idx="156">
                  <c:v>149.65525429766024</c:v>
                </c:pt>
                <c:pt idx="157">
                  <c:v>150.48552746516509</c:v>
                </c:pt>
                <c:pt idx="158">
                  <c:v>156.92078057550916</c:v>
                </c:pt>
                <c:pt idx="159">
                  <c:v>154.34515278213607</c:v>
                </c:pt>
                <c:pt idx="160">
                  <c:v>163.19489793322202</c:v>
                </c:pt>
                <c:pt idx="161">
                  <c:v>163.26528881463457</c:v>
                </c:pt>
                <c:pt idx="162">
                  <c:v>168.84991476766774</c:v>
                </c:pt>
                <c:pt idx="163">
                  <c:v>177.3824769109429</c:v>
                </c:pt>
                <c:pt idx="164">
                  <c:v>180.27698387794396</c:v>
                </c:pt>
                <c:pt idx="165">
                  <c:v>170.88616183118069</c:v>
                </c:pt>
                <c:pt idx="166">
                  <c:v>182.48369560608251</c:v>
                </c:pt>
                <c:pt idx="167">
                  <c:v>182.15803176918584</c:v>
                </c:pt>
                <c:pt idx="168">
                  <c:v>190.54048323764138</c:v>
                </c:pt>
                <c:pt idx="169">
                  <c:v>205.31747983682897</c:v>
                </c:pt>
                <c:pt idx="170">
                  <c:v>212.90358145412304</c:v>
                </c:pt>
                <c:pt idx="171">
                  <c:v>208.40110929244454</c:v>
                </c:pt>
                <c:pt idx="172">
                  <c:v>205.85007590342039</c:v>
                </c:pt>
                <c:pt idx="173">
                  <c:v>212.24716528287817</c:v>
                </c:pt>
                <c:pt idx="174">
                  <c:v>203.20405722863478</c:v>
                </c:pt>
                <c:pt idx="175">
                  <c:v>214.83551431988005</c:v>
                </c:pt>
                <c:pt idx="176">
                  <c:v>205.95354201826783</c:v>
                </c:pt>
                <c:pt idx="177">
                  <c:v>205.29882201284008</c:v>
                </c:pt>
                <c:pt idx="178">
                  <c:v>215.62338334195562</c:v>
                </c:pt>
                <c:pt idx="179">
                  <c:v>209.40608753911792</c:v>
                </c:pt>
                <c:pt idx="180">
                  <c:v>217.25933527261637</c:v>
                </c:pt>
                <c:pt idx="181">
                  <c:v>220.11737467454827</c:v>
                </c:pt>
                <c:pt idx="182">
                  <c:v>226.76464851203863</c:v>
                </c:pt>
                <c:pt idx="183">
                  <c:v>232.13131715756543</c:v>
                </c:pt>
                <c:pt idx="184">
                  <c:v>238.45377524106766</c:v>
                </c:pt>
                <c:pt idx="185">
                  <c:v>244.64817280537358</c:v>
                </c:pt>
                <c:pt idx="186">
                  <c:v>253.59375132512966</c:v>
                </c:pt>
                <c:pt idx="187">
                  <c:v>267.3394791074777</c:v>
                </c:pt>
                <c:pt idx="188">
                  <c:v>259.99677728494748</c:v>
                </c:pt>
                <c:pt idx="189">
                  <c:v>248.82752537888115</c:v>
                </c:pt>
                <c:pt idx="190">
                  <c:v>229.63710532341651</c:v>
                </c:pt>
                <c:pt idx="191">
                  <c:v>231.37567528601605</c:v>
                </c:pt>
                <c:pt idx="192">
                  <c:v>247.49433904658531</c:v>
                </c:pt>
                <c:pt idx="193">
                  <c:v>235.05041852891549</c:v>
                </c:pt>
                <c:pt idx="194">
                  <c:v>244.63545156174479</c:v>
                </c:pt>
                <c:pt idx="195">
                  <c:v>246.14164680739196</c:v>
                </c:pt>
                <c:pt idx="196">
                  <c:v>252.61506364862237</c:v>
                </c:pt>
                <c:pt idx="197">
                  <c:v>249.79688414339395</c:v>
                </c:pt>
                <c:pt idx="198">
                  <c:v>237.3555078744499</c:v>
                </c:pt>
                <c:pt idx="199">
                  <c:v>237.5709209332305</c:v>
                </c:pt>
                <c:pt idx="200">
                  <c:v>239.6410913130868</c:v>
                </c:pt>
                <c:pt idx="201">
                  <c:v>241.21767744014659</c:v>
                </c:pt>
                <c:pt idx="202">
                  <c:v>246.29854214548016</c:v>
                </c:pt>
                <c:pt idx="203">
                  <c:v>258.97398929719373</c:v>
                </c:pt>
                <c:pt idx="204">
                  <c:v>260.13755904777258</c:v>
                </c:pt>
                <c:pt idx="205">
                  <c:v>252.09942924020257</c:v>
                </c:pt>
                <c:pt idx="206">
                  <c:v>243.7873686531596</c:v>
                </c:pt>
                <c:pt idx="207">
                  <c:v>243.91118875781305</c:v>
                </c:pt>
                <c:pt idx="208">
                  <c:v>255.07026366897637</c:v>
                </c:pt>
                <c:pt idx="209">
                  <c:v>262.78018539092392</c:v>
                </c:pt>
                <c:pt idx="210">
                  <c:v>267.91617548531553</c:v>
                </c:pt>
                <c:pt idx="211">
                  <c:v>270.33660410641755</c:v>
                </c:pt>
                <c:pt idx="212">
                  <c:v>279.97506636248772</c:v>
                </c:pt>
                <c:pt idx="213">
                  <c:v>274.82550694155873</c:v>
                </c:pt>
                <c:pt idx="214">
                  <c:v>268.12310771501029</c:v>
                </c:pt>
                <c:pt idx="215">
                  <c:v>268.57768015401194</c:v>
                </c:pt>
                <c:pt idx="216">
                  <c:v>274.86960725280511</c:v>
                </c:pt>
                <c:pt idx="217">
                  <c:v>290.75080779897047</c:v>
                </c:pt>
                <c:pt idx="218">
                  <c:v>297.38960080737502</c:v>
                </c:pt>
                <c:pt idx="219">
                  <c:v>314.95848634162479</c:v>
                </c:pt>
                <c:pt idx="220">
                  <c:v>305.68300357042909</c:v>
                </c:pt>
                <c:pt idx="221">
                  <c:v>315.06873711974089</c:v>
                </c:pt>
                <c:pt idx="222">
                  <c:v>329.66254781067403</c:v>
                </c:pt>
                <c:pt idx="223">
                  <c:v>337.56244010414463</c:v>
                </c:pt>
                <c:pt idx="224">
                  <c:v>338.75145234198101</c:v>
                </c:pt>
                <c:pt idx="225">
                  <c:v>327.17342447397664</c:v>
                </c:pt>
                <c:pt idx="226">
                  <c:v>331.79378015994848</c:v>
                </c:pt>
                <c:pt idx="227">
                  <c:v>340.21693960801611</c:v>
                </c:pt>
                <c:pt idx="228">
                  <c:v>326.95122675192727</c:v>
                </c:pt>
                <c:pt idx="229">
                  <c:v>343.78567248734237</c:v>
                </c:pt>
                <c:pt idx="230">
                  <c:v>321.05365820562622</c:v>
                </c:pt>
                <c:pt idx="231">
                  <c:v>196.33967416654656</c:v>
                </c:pt>
                <c:pt idx="232">
                  <c:v>227.61188333771514</c:v>
                </c:pt>
                <c:pt idx="233">
                  <c:v>233.50775571819904</c:v>
                </c:pt>
                <c:pt idx="234">
                  <c:v>230.3969876095087</c:v>
                </c:pt>
                <c:pt idx="235">
                  <c:v>219.07592886280565</c:v>
                </c:pt>
                <c:pt idx="236">
                  <c:v>235.98755014290199</c:v>
                </c:pt>
                <c:pt idx="237">
                  <c:v>233.11763758024989</c:v>
                </c:pt>
                <c:pt idx="238">
                  <c:v>228.79156666355706</c:v>
                </c:pt>
                <c:pt idx="239">
                  <c:v>273.86886942067463</c:v>
                </c:pt>
                <c:pt idx="240">
                  <c:v>271.00489343838262</c:v>
                </c:pt>
                <c:pt idx="241">
                  <c:v>262.86753793050821</c:v>
                </c:pt>
                <c:pt idx="242">
                  <c:v>262.70131368042553</c:v>
                </c:pt>
                <c:pt idx="243">
                  <c:v>276.08321389499054</c:v>
                </c:pt>
                <c:pt idx="244">
                  <c:v>280.84435134378754</c:v>
                </c:pt>
                <c:pt idx="245">
                  <c:v>283.65320193702149</c:v>
                </c:pt>
                <c:pt idx="246">
                  <c:v>293.51895041259246</c:v>
                </c:pt>
                <c:pt idx="247">
                  <c:v>284.99571718131176</c:v>
                </c:pt>
                <c:pt idx="248">
                  <c:v>306.66508357857083</c:v>
                </c:pt>
                <c:pt idx="249">
                  <c:v>307.78370493499466</c:v>
                </c:pt>
                <c:pt idx="250">
                  <c:v>309.40354329039224</c:v>
                </c:pt>
                <c:pt idx="251">
                  <c:v>309.79620567706718</c:v>
                </c:pt>
                <c:pt idx="252">
                  <c:v>321.16221281792525</c:v>
                </c:pt>
                <c:pt idx="253">
                  <c:v>297.03679831740362</c:v>
                </c:pt>
                <c:pt idx="254">
                  <c:v>309.58927344737236</c:v>
                </c:pt>
                <c:pt idx="255">
                  <c:v>312.67968756625663</c:v>
                </c:pt>
                <c:pt idx="256">
                  <c:v>310.67481957036136</c:v>
                </c:pt>
                <c:pt idx="257">
                  <c:v>293.26706978874267</c:v>
                </c:pt>
                <c:pt idx="258">
                  <c:v>267.35983309728368</c:v>
                </c:pt>
                <c:pt idx="259">
                  <c:v>294.3543120775488</c:v>
                </c:pt>
                <c:pt idx="260">
                  <c:v>284.1306726145549</c:v>
                </c:pt>
                <c:pt idx="261">
                  <c:v>252.96023339241654</c:v>
                </c:pt>
                <c:pt idx="262">
                  <c:v>279.57901164417842</c:v>
                </c:pt>
                <c:pt idx="263">
                  <c:v>289.01563016800532</c:v>
                </c:pt>
                <c:pt idx="264">
                  <c:v>284.52587924995555</c:v>
                </c:pt>
                <c:pt idx="265">
                  <c:v>298.74907770983702</c:v>
                </c:pt>
                <c:pt idx="266">
                  <c:v>298.67105408224717</c:v>
                </c:pt>
                <c:pt idx="267">
                  <c:v>279.52388625512037</c:v>
                </c:pt>
                <c:pt idx="268">
                  <c:v>297.2386420496469</c:v>
                </c:pt>
                <c:pt idx="269">
                  <c:v>286.90220755981119</c:v>
                </c:pt>
                <c:pt idx="270">
                  <c:v>283.27750120851829</c:v>
                </c:pt>
                <c:pt idx="271">
                  <c:v>295.81471084613247</c:v>
                </c:pt>
                <c:pt idx="272">
                  <c:v>290.08251846700546</c:v>
                </c:pt>
                <c:pt idx="273">
                  <c:v>265.73151391280027</c:v>
                </c:pt>
                <c:pt idx="274">
                  <c:v>248.06170651242877</c:v>
                </c:pt>
                <c:pt idx="275">
                  <c:v>274.65419419402457</c:v>
                </c:pt>
                <c:pt idx="276">
                  <c:v>303.01747898874606</c:v>
                </c:pt>
                <c:pt idx="277">
                  <c:v>307.06198637978861</c:v>
                </c:pt>
                <c:pt idx="278">
                  <c:v>302.60107028063078</c:v>
                </c:pt>
                <c:pt idx="279">
                  <c:v>334.00133997099573</c:v>
                </c:pt>
                <c:pt idx="280">
                  <c:v>308.2620236954366</c:v>
                </c:pt>
                <c:pt idx="281">
                  <c:v>314.37585338342694</c:v>
                </c:pt>
                <c:pt idx="282">
                  <c:v>316.39089837422523</c:v>
                </c:pt>
                <c:pt idx="283">
                  <c:v>335.65255739401107</c:v>
                </c:pt>
                <c:pt idx="284">
                  <c:v>334.44658349800295</c:v>
                </c:pt>
                <c:pt idx="285">
                  <c:v>357.5322483525992</c:v>
                </c:pt>
                <c:pt idx="286">
                  <c:v>348.15329946655606</c:v>
                </c:pt>
                <c:pt idx="287">
                  <c:v>355.87848668085815</c:v>
                </c:pt>
                <c:pt idx="288">
                  <c:v>334.72814702365321</c:v>
                </c:pt>
                <c:pt idx="289">
                  <c:v>349.37538693782722</c:v>
                </c:pt>
                <c:pt idx="290">
                  <c:v>326.87659545597194</c:v>
                </c:pt>
                <c:pt idx="291">
                  <c:v>309.61217168590412</c:v>
                </c:pt>
                <c:pt idx="292">
                  <c:v>329.4259326791788</c:v>
                </c:pt>
                <c:pt idx="293">
                  <c:v>345.86347561337601</c:v>
                </c:pt>
                <c:pt idx="294">
                  <c:v>353.03825702000631</c:v>
                </c:pt>
                <c:pt idx="295">
                  <c:v>363.76480964779125</c:v>
                </c:pt>
                <c:pt idx="296">
                  <c:v>381.25821580317699</c:v>
                </c:pt>
              </c:numCache>
            </c:numRef>
          </c:val>
          <c:smooth val="1"/>
          <c:extLst>
            <c:ext xmlns:c16="http://schemas.microsoft.com/office/drawing/2014/chart" uri="{C3380CC4-5D6E-409C-BE32-E72D297353CC}">
              <c16:uniqueId val="{00000005-FC64-4372-8D06-87213EDAAFB4}"/>
            </c:ext>
          </c:extLst>
        </c:ser>
        <c:ser>
          <c:idx val="6"/>
          <c:order val="4"/>
          <c:tx>
            <c:strRef>
              <c:f>'Monthly Raw Data'!$AE$4</c:f>
              <c:strCache>
                <c:ptCount val="1"/>
                <c:pt idx="0">
                  <c:v>Int'l Listed Property [G]</c:v>
                </c:pt>
              </c:strCache>
            </c:strRef>
          </c:tx>
          <c:spPr>
            <a:ln w="19050" cap="rnd">
              <a:solidFill>
                <a:schemeClr val="accent1">
                  <a:lumMod val="60000"/>
                </a:schemeClr>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Data'!$AE$5:$AE$301</c:f>
              <c:numCache>
                <c:formatCode>General</c:formatCode>
                <c:ptCount val="297"/>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103.52699999999999</c:v>
                </c:pt>
                <c:pt idx="62">
                  <c:v>105.36099999999996</c:v>
                </c:pt>
                <c:pt idx="63">
                  <c:v>104.55899999999997</c:v>
                </c:pt>
                <c:pt idx="64">
                  <c:v>105.71799999999998</c:v>
                </c:pt>
                <c:pt idx="65">
                  <c:v>104.91499999999998</c:v>
                </c:pt>
                <c:pt idx="66">
                  <c:v>106.70199999999997</c:v>
                </c:pt>
                <c:pt idx="67">
                  <c:v>107.72899999999997</c:v>
                </c:pt>
                <c:pt idx="68">
                  <c:v>110.72999999999996</c:v>
                </c:pt>
                <c:pt idx="69">
                  <c:v>112.06999999999996</c:v>
                </c:pt>
                <c:pt idx="70">
                  <c:v>117.15999999999995</c:v>
                </c:pt>
                <c:pt idx="71">
                  <c:v>120.61999999999996</c:v>
                </c:pt>
                <c:pt idx="72">
                  <c:v>123.56999999999995</c:v>
                </c:pt>
                <c:pt idx="73">
                  <c:v>126.21799999999996</c:v>
                </c:pt>
                <c:pt idx="74">
                  <c:v>128.12099999999998</c:v>
                </c:pt>
                <c:pt idx="75">
                  <c:v>131.52099999999999</c:v>
                </c:pt>
                <c:pt idx="76">
                  <c:v>134.58099999999999</c:v>
                </c:pt>
                <c:pt idx="77">
                  <c:v>135.58499999999998</c:v>
                </c:pt>
                <c:pt idx="78">
                  <c:v>130.06899999999999</c:v>
                </c:pt>
                <c:pt idx="79">
                  <c:v>125.35399999999997</c:v>
                </c:pt>
                <c:pt idx="80">
                  <c:v>127.00399999999998</c:v>
                </c:pt>
                <c:pt idx="81">
                  <c:v>129.35699999999997</c:v>
                </c:pt>
                <c:pt idx="82">
                  <c:v>134.39699999999999</c:v>
                </c:pt>
                <c:pt idx="83">
                  <c:v>134.66999999999999</c:v>
                </c:pt>
                <c:pt idx="84">
                  <c:v>134.13099999999997</c:v>
                </c:pt>
                <c:pt idx="85">
                  <c:v>129.04799999999997</c:v>
                </c:pt>
                <c:pt idx="86">
                  <c:v>126.53299999999996</c:v>
                </c:pt>
                <c:pt idx="87">
                  <c:v>126.05199999999996</c:v>
                </c:pt>
                <c:pt idx="88">
                  <c:v>132.10099999999997</c:v>
                </c:pt>
                <c:pt idx="89">
                  <c:v>137.18599999999995</c:v>
                </c:pt>
                <c:pt idx="90">
                  <c:v>132.11799999999997</c:v>
                </c:pt>
                <c:pt idx="91">
                  <c:v>132.47999999999996</c:v>
                </c:pt>
                <c:pt idx="92">
                  <c:v>135.81299999999999</c:v>
                </c:pt>
                <c:pt idx="93">
                  <c:v>124.03599999999996</c:v>
                </c:pt>
                <c:pt idx="94">
                  <c:v>112.57299999999998</c:v>
                </c:pt>
                <c:pt idx="95">
                  <c:v>109.37699999999997</c:v>
                </c:pt>
                <c:pt idx="96">
                  <c:v>108.79099999999998</c:v>
                </c:pt>
                <c:pt idx="97">
                  <c:v>104.04899999999998</c:v>
                </c:pt>
                <c:pt idx="98">
                  <c:v>95.929999999999978</c:v>
                </c:pt>
                <c:pt idx="99">
                  <c:v>95.594999999999985</c:v>
                </c:pt>
                <c:pt idx="100">
                  <c:v>97.996999999999986</c:v>
                </c:pt>
                <c:pt idx="101">
                  <c:v>100.49199999999998</c:v>
                </c:pt>
                <c:pt idx="102">
                  <c:v>104.32499999999997</c:v>
                </c:pt>
                <c:pt idx="103">
                  <c:v>108.25199999999998</c:v>
                </c:pt>
                <c:pt idx="104">
                  <c:v>110.96999999999998</c:v>
                </c:pt>
                <c:pt idx="105">
                  <c:v>112.89799999999998</c:v>
                </c:pt>
                <c:pt idx="106">
                  <c:v>110.00199999999998</c:v>
                </c:pt>
                <c:pt idx="107">
                  <c:v>116.70699999999998</c:v>
                </c:pt>
                <c:pt idx="108">
                  <c:v>121.64100000000001</c:v>
                </c:pt>
                <c:pt idx="109">
                  <c:v>118.38</c:v>
                </c:pt>
                <c:pt idx="110">
                  <c:v>120.584</c:v>
                </c:pt>
                <c:pt idx="111">
                  <c:v>126.23900000000002</c:v>
                </c:pt>
                <c:pt idx="112">
                  <c:v>127.13199999999999</c:v>
                </c:pt>
                <c:pt idx="113">
                  <c:v>120.21199999999999</c:v>
                </c:pt>
                <c:pt idx="114">
                  <c:v>121.251</c:v>
                </c:pt>
                <c:pt idx="115">
                  <c:v>127.04600000000001</c:v>
                </c:pt>
                <c:pt idx="116">
                  <c:v>128.65699999999998</c:v>
                </c:pt>
                <c:pt idx="117">
                  <c:v>131.51300000000001</c:v>
                </c:pt>
                <c:pt idx="118">
                  <c:v>135.27899999999997</c:v>
                </c:pt>
                <c:pt idx="119">
                  <c:v>134.47599999999997</c:v>
                </c:pt>
                <c:pt idx="120">
                  <c:v>138.16799999999998</c:v>
                </c:pt>
                <c:pt idx="121">
                  <c:v>140.69299999999998</c:v>
                </c:pt>
                <c:pt idx="122">
                  <c:v>145.08499999999995</c:v>
                </c:pt>
                <c:pt idx="123">
                  <c:v>141.71299999999997</c:v>
                </c:pt>
                <c:pt idx="124">
                  <c:v>144.66699999999997</c:v>
                </c:pt>
                <c:pt idx="125">
                  <c:v>145.50199999999995</c:v>
                </c:pt>
                <c:pt idx="126">
                  <c:v>146.82399999999993</c:v>
                </c:pt>
                <c:pt idx="127">
                  <c:v>144.99799999999993</c:v>
                </c:pt>
                <c:pt idx="128">
                  <c:v>143.73499999999993</c:v>
                </c:pt>
                <c:pt idx="129">
                  <c:v>142.16099999999992</c:v>
                </c:pt>
                <c:pt idx="130">
                  <c:v>149.63199999999992</c:v>
                </c:pt>
                <c:pt idx="131">
                  <c:v>152.20499999999993</c:v>
                </c:pt>
                <c:pt idx="132">
                  <c:v>156.49699999999993</c:v>
                </c:pt>
                <c:pt idx="133">
                  <c:v>156.36699999999993</c:v>
                </c:pt>
                <c:pt idx="134">
                  <c:v>159.00299999999993</c:v>
                </c:pt>
                <c:pt idx="135">
                  <c:v>161.41699999999994</c:v>
                </c:pt>
                <c:pt idx="136">
                  <c:v>164.55999999999992</c:v>
                </c:pt>
                <c:pt idx="137">
                  <c:v>161.20599999999993</c:v>
                </c:pt>
                <c:pt idx="138">
                  <c:v>167.65699999999993</c:v>
                </c:pt>
                <c:pt idx="139">
                  <c:v>170.14099999999993</c:v>
                </c:pt>
                <c:pt idx="140">
                  <c:v>168.74499999999992</c:v>
                </c:pt>
                <c:pt idx="141">
                  <c:v>170.77499999999992</c:v>
                </c:pt>
                <c:pt idx="142">
                  <c:v>173.94299999999993</c:v>
                </c:pt>
                <c:pt idx="143">
                  <c:v>172.87599999999992</c:v>
                </c:pt>
                <c:pt idx="144">
                  <c:v>176.5509999999999</c:v>
                </c:pt>
                <c:pt idx="145">
                  <c:v>185.05999999999989</c:v>
                </c:pt>
                <c:pt idx="146">
                  <c:v>191.5739999999999</c:v>
                </c:pt>
                <c:pt idx="147">
                  <c:v>200.20399999999989</c:v>
                </c:pt>
                <c:pt idx="148">
                  <c:v>211.38499999999988</c:v>
                </c:pt>
                <c:pt idx="149">
                  <c:v>203.3649999999999</c:v>
                </c:pt>
                <c:pt idx="150">
                  <c:v>202.22899999999987</c:v>
                </c:pt>
                <c:pt idx="151">
                  <c:v>208.7289999999999</c:v>
                </c:pt>
                <c:pt idx="152">
                  <c:v>200.4679999999999</c:v>
                </c:pt>
                <c:pt idx="153">
                  <c:v>207.06399999999988</c:v>
                </c:pt>
                <c:pt idx="154">
                  <c:v>214.6389999999999</c:v>
                </c:pt>
                <c:pt idx="155">
                  <c:v>213.46399999999988</c:v>
                </c:pt>
                <c:pt idx="156">
                  <c:v>218.36899999999989</c:v>
                </c:pt>
                <c:pt idx="157">
                  <c:v>218.95799999999988</c:v>
                </c:pt>
                <c:pt idx="158">
                  <c:v>226.55999999999986</c:v>
                </c:pt>
                <c:pt idx="159">
                  <c:v>230.33699999999988</c:v>
                </c:pt>
                <c:pt idx="160">
                  <c:v>235.64499999999984</c:v>
                </c:pt>
                <c:pt idx="161">
                  <c:v>241.04099999999985</c:v>
                </c:pt>
                <c:pt idx="162">
                  <c:v>249.92899999999986</c:v>
                </c:pt>
                <c:pt idx="163">
                  <c:v>247.14699999999985</c:v>
                </c:pt>
                <c:pt idx="164">
                  <c:v>257.44899999999984</c:v>
                </c:pt>
                <c:pt idx="165">
                  <c:v>256.12699999999984</c:v>
                </c:pt>
                <c:pt idx="166">
                  <c:v>268.76999999999981</c:v>
                </c:pt>
                <c:pt idx="167">
                  <c:v>271.74399999999986</c:v>
                </c:pt>
                <c:pt idx="168">
                  <c:v>276.21999999999986</c:v>
                </c:pt>
                <c:pt idx="169">
                  <c:v>282.24099999999987</c:v>
                </c:pt>
                <c:pt idx="170">
                  <c:v>278.62599999999992</c:v>
                </c:pt>
                <c:pt idx="171">
                  <c:v>275.50999999999988</c:v>
                </c:pt>
                <c:pt idx="172">
                  <c:v>278.16199999999986</c:v>
                </c:pt>
                <c:pt idx="173">
                  <c:v>277.13899999999984</c:v>
                </c:pt>
                <c:pt idx="174">
                  <c:v>265.42799999999988</c:v>
                </c:pt>
                <c:pt idx="175">
                  <c:v>275.64299999999986</c:v>
                </c:pt>
                <c:pt idx="176">
                  <c:v>261.20899999999989</c:v>
                </c:pt>
                <c:pt idx="177">
                  <c:v>259.07099999999991</c:v>
                </c:pt>
                <c:pt idx="178">
                  <c:v>270.23899999999986</c:v>
                </c:pt>
                <c:pt idx="179">
                  <c:v>264.36299999999989</c:v>
                </c:pt>
                <c:pt idx="180">
                  <c:v>258.76899999999989</c:v>
                </c:pt>
                <c:pt idx="181">
                  <c:v>260.2829999999999</c:v>
                </c:pt>
                <c:pt idx="182">
                  <c:v>261.85199999999992</c:v>
                </c:pt>
                <c:pt idx="183">
                  <c:v>275.70999999999992</c:v>
                </c:pt>
                <c:pt idx="184">
                  <c:v>276.14399999999995</c:v>
                </c:pt>
                <c:pt idx="185">
                  <c:v>279.08299999999991</c:v>
                </c:pt>
                <c:pt idx="186">
                  <c:v>291.36299999999994</c:v>
                </c:pt>
                <c:pt idx="187">
                  <c:v>296.08499999999992</c:v>
                </c:pt>
                <c:pt idx="188">
                  <c:v>287.74999999999994</c:v>
                </c:pt>
                <c:pt idx="189">
                  <c:v>293.62699999999995</c:v>
                </c:pt>
                <c:pt idx="190">
                  <c:v>290.61699999999996</c:v>
                </c:pt>
                <c:pt idx="191">
                  <c:v>285.88099999999991</c:v>
                </c:pt>
                <c:pt idx="192">
                  <c:v>295.47499999999991</c:v>
                </c:pt>
                <c:pt idx="193">
                  <c:v>298.07099999999991</c:v>
                </c:pt>
                <c:pt idx="194">
                  <c:v>308.87999999999994</c:v>
                </c:pt>
                <c:pt idx="195">
                  <c:v>312.42999999999995</c:v>
                </c:pt>
                <c:pt idx="196">
                  <c:v>318.24299999999988</c:v>
                </c:pt>
                <c:pt idx="197">
                  <c:v>328.72399999999988</c:v>
                </c:pt>
                <c:pt idx="198">
                  <c:v>323.70299999999992</c:v>
                </c:pt>
                <c:pt idx="199">
                  <c:v>324.57899999999984</c:v>
                </c:pt>
                <c:pt idx="200">
                  <c:v>331.85799999999983</c:v>
                </c:pt>
                <c:pt idx="201">
                  <c:v>329.35699999999986</c:v>
                </c:pt>
                <c:pt idx="202">
                  <c:v>336.20599999999985</c:v>
                </c:pt>
                <c:pt idx="203">
                  <c:v>343.46899999999988</c:v>
                </c:pt>
                <c:pt idx="204">
                  <c:v>336.13099999999986</c:v>
                </c:pt>
                <c:pt idx="205">
                  <c:v>330.03399999999988</c:v>
                </c:pt>
                <c:pt idx="206">
                  <c:v>315.79199999999986</c:v>
                </c:pt>
                <c:pt idx="207">
                  <c:v>321.64599999999984</c:v>
                </c:pt>
                <c:pt idx="208">
                  <c:v>330.35199999999986</c:v>
                </c:pt>
                <c:pt idx="209">
                  <c:v>334.88199999999989</c:v>
                </c:pt>
                <c:pt idx="210">
                  <c:v>343.51599999999985</c:v>
                </c:pt>
                <c:pt idx="211">
                  <c:v>352.41699999999986</c:v>
                </c:pt>
                <c:pt idx="212">
                  <c:v>351.66699999999986</c:v>
                </c:pt>
                <c:pt idx="213">
                  <c:v>352.77999999999986</c:v>
                </c:pt>
                <c:pt idx="214">
                  <c:v>346.53899999999987</c:v>
                </c:pt>
                <c:pt idx="215">
                  <c:v>358.88299999999987</c:v>
                </c:pt>
                <c:pt idx="216">
                  <c:v>339.0569999999999</c:v>
                </c:pt>
                <c:pt idx="217">
                  <c:v>362.42199999999985</c:v>
                </c:pt>
                <c:pt idx="218">
                  <c:v>376.06399999999985</c:v>
                </c:pt>
                <c:pt idx="219">
                  <c:v>387.76099999999985</c:v>
                </c:pt>
                <c:pt idx="220">
                  <c:v>392.37199999999979</c:v>
                </c:pt>
                <c:pt idx="221">
                  <c:v>388.67999999999978</c:v>
                </c:pt>
                <c:pt idx="222">
                  <c:v>397.60199999999969</c:v>
                </c:pt>
                <c:pt idx="223">
                  <c:v>398.37999999999977</c:v>
                </c:pt>
                <c:pt idx="224">
                  <c:v>403.95399999999972</c:v>
                </c:pt>
                <c:pt idx="225">
                  <c:v>411.84399999999965</c:v>
                </c:pt>
                <c:pt idx="226">
                  <c:v>410.76099999999968</c:v>
                </c:pt>
                <c:pt idx="227">
                  <c:v>409.12199999999967</c:v>
                </c:pt>
                <c:pt idx="228">
                  <c:v>421.23199999999969</c:v>
                </c:pt>
                <c:pt idx="229">
                  <c:v>438.78899999999976</c:v>
                </c:pt>
                <c:pt idx="230">
                  <c:v>401.73499999999979</c:v>
                </c:pt>
                <c:pt idx="231">
                  <c:v>353.80699999999985</c:v>
                </c:pt>
                <c:pt idx="232">
                  <c:v>373.78599999999983</c:v>
                </c:pt>
                <c:pt idx="233">
                  <c:v>390.35799999999983</c:v>
                </c:pt>
                <c:pt idx="234">
                  <c:v>378.52399999999983</c:v>
                </c:pt>
                <c:pt idx="235">
                  <c:v>388.90299999999985</c:v>
                </c:pt>
                <c:pt idx="236">
                  <c:v>390.2589999999999</c:v>
                </c:pt>
                <c:pt idx="237">
                  <c:v>390.04399999999987</c:v>
                </c:pt>
                <c:pt idx="238">
                  <c:v>386.69799999999987</c:v>
                </c:pt>
                <c:pt idx="239">
                  <c:v>406.72599999999994</c:v>
                </c:pt>
                <c:pt idx="240">
                  <c:v>407.81999999999988</c:v>
                </c:pt>
                <c:pt idx="241">
                  <c:v>403.29699999999985</c:v>
                </c:pt>
                <c:pt idx="242">
                  <c:v>398.66699999999992</c:v>
                </c:pt>
                <c:pt idx="243">
                  <c:v>432.76037999999988</c:v>
                </c:pt>
                <c:pt idx="244">
                  <c:v>444.79579999999987</c:v>
                </c:pt>
                <c:pt idx="245">
                  <c:v>444.2804999999999</c:v>
                </c:pt>
                <c:pt idx="246">
                  <c:v>442.89642999999984</c:v>
                </c:pt>
                <c:pt idx="247">
                  <c:v>450.74659999999994</c:v>
                </c:pt>
                <c:pt idx="248">
                  <c:v>460.16149999999982</c:v>
                </c:pt>
                <c:pt idx="249">
                  <c:v>439.89122999999984</c:v>
                </c:pt>
                <c:pt idx="250">
                  <c:v>465.99260999999984</c:v>
                </c:pt>
                <c:pt idx="251">
                  <c:v>454.03779999999983</c:v>
                </c:pt>
                <c:pt idx="252">
                  <c:v>485.21825999999987</c:v>
                </c:pt>
                <c:pt idx="253">
                  <c:v>469.0370999999999</c:v>
                </c:pt>
                <c:pt idx="254">
                  <c:v>465.11779999999987</c:v>
                </c:pt>
                <c:pt idx="255">
                  <c:v>503.00819999999993</c:v>
                </c:pt>
                <c:pt idx="256">
                  <c:v>482.25469999999984</c:v>
                </c:pt>
                <c:pt idx="257">
                  <c:v>489.44329999999985</c:v>
                </c:pt>
                <c:pt idx="258">
                  <c:v>464.28149999999982</c:v>
                </c:pt>
                <c:pt idx="259">
                  <c:v>492.43679999999989</c:v>
                </c:pt>
                <c:pt idx="260">
                  <c:v>483.85619999999983</c:v>
                </c:pt>
                <c:pt idx="261">
                  <c:v>427.83139999999986</c:v>
                </c:pt>
                <c:pt idx="262">
                  <c:v>440.64339999999982</c:v>
                </c:pt>
                <c:pt idx="263">
                  <c:v>469.87019999999978</c:v>
                </c:pt>
                <c:pt idx="264">
                  <c:v>456.76229999999975</c:v>
                </c:pt>
                <c:pt idx="265">
                  <c:v>460.0503999999998</c:v>
                </c:pt>
                <c:pt idx="266">
                  <c:v>438.92549999999983</c:v>
                </c:pt>
                <c:pt idx="267">
                  <c:v>448.8701999999999</c:v>
                </c:pt>
                <c:pt idx="268">
                  <c:v>456.5114999999999</c:v>
                </c:pt>
                <c:pt idx="269">
                  <c:v>432.97289999999992</c:v>
                </c:pt>
                <c:pt idx="270">
                  <c:v>445.18569999999988</c:v>
                </c:pt>
                <c:pt idx="271">
                  <c:v>452.4602999999999</c:v>
                </c:pt>
                <c:pt idx="272">
                  <c:v>430.60989999999993</c:v>
                </c:pt>
                <c:pt idx="273">
                  <c:v>409.66259999999994</c:v>
                </c:pt>
                <c:pt idx="274">
                  <c:v>410.70679999999999</c:v>
                </c:pt>
                <c:pt idx="275">
                  <c:v>437.15309999999994</c:v>
                </c:pt>
                <c:pt idx="276">
                  <c:v>449.24514999999991</c:v>
                </c:pt>
                <c:pt idx="277">
                  <c:v>439.6663999999999</c:v>
                </c:pt>
                <c:pt idx="278">
                  <c:v>443.78379999999993</c:v>
                </c:pt>
                <c:pt idx="279">
                  <c:v>459.21850000000001</c:v>
                </c:pt>
                <c:pt idx="280">
                  <c:v>449.92099999999994</c:v>
                </c:pt>
                <c:pt idx="281">
                  <c:v>470.69479999999993</c:v>
                </c:pt>
                <c:pt idx="282">
                  <c:v>457.90489999999988</c:v>
                </c:pt>
                <c:pt idx="283">
                  <c:v>492.34889999999984</c:v>
                </c:pt>
                <c:pt idx="284">
                  <c:v>508.09219999999988</c:v>
                </c:pt>
                <c:pt idx="285">
                  <c:v>518.35730000000001</c:v>
                </c:pt>
                <c:pt idx="286">
                  <c:v>513.52179999999998</c:v>
                </c:pt>
                <c:pt idx="287">
                  <c:v>535.84130000000005</c:v>
                </c:pt>
                <c:pt idx="288">
                  <c:v>499.48740000000004</c:v>
                </c:pt>
                <c:pt idx="289">
                  <c:v>506.77619999999996</c:v>
                </c:pt>
                <c:pt idx="290">
                  <c:v>521.36000000000013</c:v>
                </c:pt>
                <c:pt idx="291">
                  <c:v>527.86369999999999</c:v>
                </c:pt>
                <c:pt idx="292">
                  <c:v>523.58310000000006</c:v>
                </c:pt>
                <c:pt idx="293">
                  <c:v>528.90000000000009</c:v>
                </c:pt>
                <c:pt idx="294">
                  <c:v>530.8189000000001</c:v>
                </c:pt>
                <c:pt idx="295">
                  <c:v>538.18420000000003</c:v>
                </c:pt>
                <c:pt idx="296">
                  <c:v>542.14530000000013</c:v>
                </c:pt>
              </c:numCache>
            </c:numRef>
          </c:val>
          <c:smooth val="1"/>
          <c:extLst>
            <c:ext xmlns:c16="http://schemas.microsoft.com/office/drawing/2014/chart" uri="{C3380CC4-5D6E-409C-BE32-E72D297353CC}">
              <c16:uniqueId val="{00000006-FC64-4372-8D06-87213EDAAFB4}"/>
            </c:ext>
          </c:extLst>
        </c:ser>
        <c:ser>
          <c:idx val="3"/>
          <c:order val="5"/>
          <c:tx>
            <c:strRef>
              <c:f>'Monthly Raw Data'!$AF$4</c:f>
              <c:strCache>
                <c:ptCount val="1"/>
                <c:pt idx="0">
                  <c:v>Int'l Listed Infrastructure [G]</c:v>
                </c:pt>
              </c:strCache>
            </c:strRef>
          </c:tx>
          <c:spPr>
            <a:ln w="19050" cap="rnd">
              <a:solidFill>
                <a:schemeClr val="accent4"/>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Data'!$AF$5:$AF$301</c:f>
              <c:numCache>
                <c:formatCode>General</c:formatCode>
                <c:ptCount val="297"/>
                <c:pt idx="0">
                  <c:v>100</c:v>
                </c:pt>
                <c:pt idx="1">
                  <c:v>100.94384552106335</c:v>
                </c:pt>
                <c:pt idx="2">
                  <c:v>100.35069489544097</c:v>
                </c:pt>
                <c:pt idx="3">
                  <c:v>100.01298869983115</c:v>
                </c:pt>
                <c:pt idx="4">
                  <c:v>100.70138979088195</c:v>
                </c:pt>
                <c:pt idx="5">
                  <c:v>101.53266658007534</c:v>
                </c:pt>
                <c:pt idx="6">
                  <c:v>102.12581720569773</c:v>
                </c:pt>
                <c:pt idx="7">
                  <c:v>102.10416937264583</c:v>
                </c:pt>
                <c:pt idx="8">
                  <c:v>103.03935576048841</c:v>
                </c:pt>
                <c:pt idx="9">
                  <c:v>102.1821015716327</c:v>
                </c:pt>
                <c:pt idx="10">
                  <c:v>102.63237649911247</c:v>
                </c:pt>
                <c:pt idx="11">
                  <c:v>103.18656102524139</c:v>
                </c:pt>
                <c:pt idx="12">
                  <c:v>104.41615794258995</c:v>
                </c:pt>
                <c:pt idx="13">
                  <c:v>104.97900160193966</c:v>
                </c:pt>
                <c:pt idx="14">
                  <c:v>104.39018054292767</c:v>
                </c:pt>
                <c:pt idx="15">
                  <c:v>105.16084339957571</c:v>
                </c:pt>
                <c:pt idx="16">
                  <c:v>105.9964497553795</c:v>
                </c:pt>
                <c:pt idx="17">
                  <c:v>106.71082824609259</c:v>
                </c:pt>
                <c:pt idx="18">
                  <c:v>105.81027839113307</c:v>
                </c:pt>
                <c:pt idx="19">
                  <c:v>104.38585097631729</c:v>
                </c:pt>
                <c:pt idx="20">
                  <c:v>105.26908256483527</c:v>
                </c:pt>
                <c:pt idx="21">
                  <c:v>105.35134433043255</c:v>
                </c:pt>
                <c:pt idx="22">
                  <c:v>105.30804866432871</c:v>
                </c:pt>
                <c:pt idx="23">
                  <c:v>106.4597133826904</c:v>
                </c:pt>
                <c:pt idx="24">
                  <c:v>107.59405983461058</c:v>
                </c:pt>
                <c:pt idx="25">
                  <c:v>108.96653245010177</c:v>
                </c:pt>
                <c:pt idx="26">
                  <c:v>109.70255877386676</c:v>
                </c:pt>
                <c:pt idx="27">
                  <c:v>109.98831017015199</c:v>
                </c:pt>
                <c:pt idx="28">
                  <c:v>112.140104775512</c:v>
                </c:pt>
                <c:pt idx="29">
                  <c:v>115.18379010261077</c:v>
                </c:pt>
                <c:pt idx="30">
                  <c:v>116.14062432350525</c:v>
                </c:pt>
                <c:pt idx="31">
                  <c:v>116.23587478893369</c:v>
                </c:pt>
                <c:pt idx="32">
                  <c:v>117.11910637745166</c:v>
                </c:pt>
                <c:pt idx="33">
                  <c:v>118.89422868770842</c:v>
                </c:pt>
                <c:pt idx="34">
                  <c:v>120.53080486643292</c:v>
                </c:pt>
                <c:pt idx="35">
                  <c:v>121.82967484954762</c:v>
                </c:pt>
                <c:pt idx="36">
                  <c:v>124.21093648525788</c:v>
                </c:pt>
                <c:pt idx="37">
                  <c:v>126.32809455773481</c:v>
                </c:pt>
                <c:pt idx="38">
                  <c:v>128.0945577347708</c:v>
                </c:pt>
                <c:pt idx="39">
                  <c:v>128.45824133004291</c:v>
                </c:pt>
                <c:pt idx="40">
                  <c:v>127.70922630644678</c:v>
                </c:pt>
                <c:pt idx="41">
                  <c:v>127.41481577694078</c:v>
                </c:pt>
                <c:pt idx="42">
                  <c:v>127.85210200458938</c:v>
                </c:pt>
                <c:pt idx="43">
                  <c:v>127.45378187643421</c:v>
                </c:pt>
                <c:pt idx="44">
                  <c:v>127.62696454084949</c:v>
                </c:pt>
                <c:pt idx="45">
                  <c:v>128.92150495735382</c:v>
                </c:pt>
                <c:pt idx="46">
                  <c:v>130.57539940251985</c:v>
                </c:pt>
                <c:pt idx="47">
                  <c:v>134.03472312421533</c:v>
                </c:pt>
                <c:pt idx="48">
                  <c:v>136.18651772957534</c:v>
                </c:pt>
                <c:pt idx="49">
                  <c:v>135.72758366887481</c:v>
                </c:pt>
                <c:pt idx="50">
                  <c:v>137.67155907693646</c:v>
                </c:pt>
                <c:pt idx="51">
                  <c:v>137.45941031302772</c:v>
                </c:pt>
                <c:pt idx="52">
                  <c:v>136.03498289821192</c:v>
                </c:pt>
                <c:pt idx="53">
                  <c:v>136.23414296228952</c:v>
                </c:pt>
                <c:pt idx="54">
                  <c:v>138.01359483915664</c:v>
                </c:pt>
                <c:pt idx="55">
                  <c:v>140.66761917132098</c:v>
                </c:pt>
                <c:pt idx="56">
                  <c:v>141.91020478850069</c:v>
                </c:pt>
                <c:pt idx="57">
                  <c:v>144.21786379183447</c:v>
                </c:pt>
                <c:pt idx="58">
                  <c:v>142.11802398579906</c:v>
                </c:pt>
                <c:pt idx="59">
                  <c:v>144.22219335844485</c:v>
                </c:pt>
                <c:pt idx="60">
                  <c:v>146.54717062822016</c:v>
                </c:pt>
                <c:pt idx="61">
                  <c:v>151.27505736675761</c:v>
                </c:pt>
                <c:pt idx="62">
                  <c:v>151.7859462267827</c:v>
                </c:pt>
                <c:pt idx="63">
                  <c:v>154.55253929081698</c:v>
                </c:pt>
                <c:pt idx="64">
                  <c:v>157.97722647962937</c:v>
                </c:pt>
                <c:pt idx="65">
                  <c:v>155.92501190630816</c:v>
                </c:pt>
                <c:pt idx="66">
                  <c:v>155.76048837511362</c:v>
                </c:pt>
                <c:pt idx="67">
                  <c:v>156.20643373598301</c:v>
                </c:pt>
                <c:pt idx="68">
                  <c:v>157.53994025198074</c:v>
                </c:pt>
                <c:pt idx="69">
                  <c:v>157.74342988266869</c:v>
                </c:pt>
                <c:pt idx="70">
                  <c:v>160.53600034636528</c:v>
                </c:pt>
                <c:pt idx="71">
                  <c:v>163.8611075031389</c:v>
                </c:pt>
                <c:pt idx="72">
                  <c:v>166.86582673074423</c:v>
                </c:pt>
                <c:pt idx="73">
                  <c:v>169.08256483525994</c:v>
                </c:pt>
                <c:pt idx="74">
                  <c:v>170.33380958566048</c:v>
                </c:pt>
                <c:pt idx="75">
                  <c:v>172.43797895830625</c:v>
                </c:pt>
                <c:pt idx="76">
                  <c:v>175.92328007966398</c:v>
                </c:pt>
                <c:pt idx="77">
                  <c:v>179.98441356020257</c:v>
                </c:pt>
                <c:pt idx="78">
                  <c:v>181.38719314196646</c:v>
                </c:pt>
                <c:pt idx="79">
                  <c:v>181.3785340087457</c:v>
                </c:pt>
                <c:pt idx="80">
                  <c:v>178.60328181149063</c:v>
                </c:pt>
                <c:pt idx="81">
                  <c:v>183.43507814867729</c:v>
                </c:pt>
                <c:pt idx="82">
                  <c:v>189.23669740658957</c:v>
                </c:pt>
                <c:pt idx="83">
                  <c:v>186.9550158029181</c:v>
                </c:pt>
                <c:pt idx="84">
                  <c:v>187.82525869160492</c:v>
                </c:pt>
                <c:pt idx="85">
                  <c:v>185.04567692773949</c:v>
                </c:pt>
                <c:pt idx="86">
                  <c:v>188.01575962246179</c:v>
                </c:pt>
                <c:pt idx="87">
                  <c:v>184.04987660735159</c:v>
                </c:pt>
                <c:pt idx="88">
                  <c:v>185.10196129367446</c:v>
                </c:pt>
                <c:pt idx="89">
                  <c:v>188.79941117894094</c:v>
                </c:pt>
                <c:pt idx="90">
                  <c:v>188.79075204572018</c:v>
                </c:pt>
                <c:pt idx="91">
                  <c:v>183.86803480971551</c:v>
                </c:pt>
                <c:pt idx="92">
                  <c:v>181.16205567822658</c:v>
                </c:pt>
                <c:pt idx="93">
                  <c:v>169.29471359916869</c:v>
                </c:pt>
                <c:pt idx="94">
                  <c:v>158.63099103779709</c:v>
                </c:pt>
                <c:pt idx="95">
                  <c:v>152.05437935662638</c:v>
                </c:pt>
                <c:pt idx="96">
                  <c:v>152.00242455730179</c:v>
                </c:pt>
                <c:pt idx="97">
                  <c:v>153.66497813568861</c:v>
                </c:pt>
                <c:pt idx="98">
                  <c:v>152.30549422002855</c:v>
                </c:pt>
                <c:pt idx="99">
                  <c:v>153.30129454041651</c:v>
                </c:pt>
                <c:pt idx="100">
                  <c:v>155.88171624020438</c:v>
                </c:pt>
                <c:pt idx="101">
                  <c:v>162.2115426245833</c:v>
                </c:pt>
                <c:pt idx="102">
                  <c:v>162.90860284885483</c:v>
                </c:pt>
                <c:pt idx="103">
                  <c:v>167.0433389617699</c:v>
                </c:pt>
                <c:pt idx="104">
                  <c:v>169.59345369528506</c:v>
                </c:pt>
                <c:pt idx="105">
                  <c:v>174.74996752825041</c:v>
                </c:pt>
                <c:pt idx="106">
                  <c:v>174.97077542537991</c:v>
                </c:pt>
                <c:pt idx="107">
                  <c:v>178.65523661081525</c:v>
                </c:pt>
                <c:pt idx="108">
                  <c:v>180.23119885699441</c:v>
                </c:pt>
                <c:pt idx="109">
                  <c:v>180.53426851972119</c:v>
                </c:pt>
                <c:pt idx="110">
                  <c:v>181.76386543706977</c:v>
                </c:pt>
                <c:pt idx="111">
                  <c:v>185.79902151794607</c:v>
                </c:pt>
                <c:pt idx="112">
                  <c:v>188.10235095466948</c:v>
                </c:pt>
                <c:pt idx="113">
                  <c:v>182.90254145560033</c:v>
                </c:pt>
                <c:pt idx="114">
                  <c:v>181.36121574230424</c:v>
                </c:pt>
                <c:pt idx="115">
                  <c:v>184.24037753820849</c:v>
                </c:pt>
                <c:pt idx="116">
                  <c:v>184.67333419924674</c:v>
                </c:pt>
                <c:pt idx="117">
                  <c:v>191.01181971684642</c:v>
                </c:pt>
                <c:pt idx="118">
                  <c:v>194.68329220245062</c:v>
                </c:pt>
                <c:pt idx="119">
                  <c:v>194.32393817378889</c:v>
                </c:pt>
                <c:pt idx="120">
                  <c:v>199.96536346711704</c:v>
                </c:pt>
                <c:pt idx="121">
                  <c:v>201.34216564921863</c:v>
                </c:pt>
                <c:pt idx="122">
                  <c:v>204.12607697969443</c:v>
                </c:pt>
                <c:pt idx="123">
                  <c:v>204.3771918430966</c:v>
                </c:pt>
                <c:pt idx="124">
                  <c:v>208.06165302853194</c:v>
                </c:pt>
                <c:pt idx="125">
                  <c:v>206.07005238775608</c:v>
                </c:pt>
                <c:pt idx="126">
                  <c:v>203.26449322422835</c:v>
                </c:pt>
                <c:pt idx="127">
                  <c:v>204.6629432393818</c:v>
                </c:pt>
                <c:pt idx="128">
                  <c:v>199.95670433389625</c:v>
                </c:pt>
                <c:pt idx="129">
                  <c:v>193.55760488375122</c:v>
                </c:pt>
                <c:pt idx="130">
                  <c:v>196.90435987357677</c:v>
                </c:pt>
                <c:pt idx="131">
                  <c:v>195.35437502705989</c:v>
                </c:pt>
                <c:pt idx="132">
                  <c:v>194.93007749924246</c:v>
                </c:pt>
                <c:pt idx="133">
                  <c:v>199.48478157336464</c:v>
                </c:pt>
                <c:pt idx="134">
                  <c:v>202.69731999826834</c:v>
                </c:pt>
                <c:pt idx="135">
                  <c:v>202.79690003030714</c:v>
                </c:pt>
                <c:pt idx="136">
                  <c:v>202.7189678313203</c:v>
                </c:pt>
                <c:pt idx="137">
                  <c:v>200.02164783305213</c:v>
                </c:pt>
                <c:pt idx="138">
                  <c:v>199.22067801013139</c:v>
                </c:pt>
                <c:pt idx="139">
                  <c:v>202.05221457332141</c:v>
                </c:pt>
                <c:pt idx="140">
                  <c:v>203.7494046845913</c:v>
                </c:pt>
                <c:pt idx="141">
                  <c:v>205.87089232367862</c:v>
                </c:pt>
                <c:pt idx="142">
                  <c:v>205.5028791617961</c:v>
                </c:pt>
                <c:pt idx="143">
                  <c:v>206.82339697796272</c:v>
                </c:pt>
                <c:pt idx="144">
                  <c:v>209.88873013811337</c:v>
                </c:pt>
                <c:pt idx="145">
                  <c:v>214.22695588171646</c:v>
                </c:pt>
                <c:pt idx="146">
                  <c:v>214.73784474174155</c:v>
                </c:pt>
                <c:pt idx="147">
                  <c:v>217.33991427458133</c:v>
                </c:pt>
                <c:pt idx="148">
                  <c:v>220.3532926354074</c:v>
                </c:pt>
                <c:pt idx="149">
                  <c:v>221.27549032341884</c:v>
                </c:pt>
                <c:pt idx="150">
                  <c:v>217.6126769710354</c:v>
                </c:pt>
                <c:pt idx="151">
                  <c:v>219.53067497943476</c:v>
                </c:pt>
                <c:pt idx="152">
                  <c:v>218.34004416157964</c:v>
                </c:pt>
                <c:pt idx="153">
                  <c:v>221.11962592544509</c:v>
                </c:pt>
                <c:pt idx="154">
                  <c:v>224.64389314629625</c:v>
                </c:pt>
                <c:pt idx="155">
                  <c:v>227.5836688747458</c:v>
                </c:pt>
                <c:pt idx="156">
                  <c:v>230.3026367060659</c:v>
                </c:pt>
                <c:pt idx="157">
                  <c:v>229.64454258128779</c:v>
                </c:pt>
                <c:pt idx="158">
                  <c:v>233.58444819673571</c:v>
                </c:pt>
                <c:pt idx="159">
                  <c:v>232.45443131142591</c:v>
                </c:pt>
                <c:pt idx="160">
                  <c:v>231.97384941767348</c:v>
                </c:pt>
                <c:pt idx="161">
                  <c:v>234.59756678356516</c:v>
                </c:pt>
                <c:pt idx="162">
                  <c:v>236.84461185435353</c:v>
                </c:pt>
                <c:pt idx="163">
                  <c:v>236.11291509719894</c:v>
                </c:pt>
                <c:pt idx="164">
                  <c:v>238.18677750357202</c:v>
                </c:pt>
                <c:pt idx="165">
                  <c:v>238.16080010390976</c:v>
                </c:pt>
                <c:pt idx="166">
                  <c:v>236.25579079534151</c:v>
                </c:pt>
                <c:pt idx="167">
                  <c:v>239.79304671602387</c:v>
                </c:pt>
                <c:pt idx="168">
                  <c:v>239.82335368229653</c:v>
                </c:pt>
                <c:pt idx="169">
                  <c:v>241.75866995713744</c:v>
                </c:pt>
                <c:pt idx="170">
                  <c:v>244.31311425726298</c:v>
                </c:pt>
                <c:pt idx="171">
                  <c:v>245.77650777157223</c:v>
                </c:pt>
                <c:pt idx="172">
                  <c:v>245.82846257089682</c:v>
                </c:pt>
                <c:pt idx="173">
                  <c:v>247.85902931116613</c:v>
                </c:pt>
                <c:pt idx="174">
                  <c:v>244.60319522015863</c:v>
                </c:pt>
                <c:pt idx="175">
                  <c:v>246.73767155907709</c:v>
                </c:pt>
                <c:pt idx="176">
                  <c:v>241.83227258951391</c:v>
                </c:pt>
                <c:pt idx="177">
                  <c:v>238.42490366714307</c:v>
                </c:pt>
                <c:pt idx="178">
                  <c:v>239.68047798415395</c:v>
                </c:pt>
                <c:pt idx="179">
                  <c:v>240.16971901112714</c:v>
                </c:pt>
                <c:pt idx="180">
                  <c:v>238.13049313763705</c:v>
                </c:pt>
                <c:pt idx="181">
                  <c:v>234.77074944798039</c:v>
                </c:pt>
                <c:pt idx="182">
                  <c:v>232.22496428107561</c:v>
                </c:pt>
                <c:pt idx="183">
                  <c:v>232.88738797246413</c:v>
                </c:pt>
                <c:pt idx="184">
                  <c:v>233.67536909555372</c:v>
                </c:pt>
                <c:pt idx="185">
                  <c:v>234.5109754513575</c:v>
                </c:pt>
                <c:pt idx="186">
                  <c:v>234.2728492877865</c:v>
                </c:pt>
                <c:pt idx="187">
                  <c:v>236.95718058622347</c:v>
                </c:pt>
                <c:pt idx="188">
                  <c:v>238.06122007187096</c:v>
                </c:pt>
                <c:pt idx="189">
                  <c:v>238.35563060137693</c:v>
                </c:pt>
                <c:pt idx="190">
                  <c:v>237.93133307355944</c:v>
                </c:pt>
                <c:pt idx="191">
                  <c:v>238.79724639563588</c:v>
                </c:pt>
                <c:pt idx="192">
                  <c:v>241.0962462657489</c:v>
                </c:pt>
                <c:pt idx="193">
                  <c:v>242.78477724379798</c:v>
                </c:pt>
                <c:pt idx="194">
                  <c:v>245.13140234662518</c:v>
                </c:pt>
                <c:pt idx="195">
                  <c:v>246.09689570074045</c:v>
                </c:pt>
                <c:pt idx="196">
                  <c:v>247.15763952028414</c:v>
                </c:pt>
                <c:pt idx="197">
                  <c:v>249.17954712733265</c:v>
                </c:pt>
                <c:pt idx="198">
                  <c:v>247.96293890981525</c:v>
                </c:pt>
                <c:pt idx="199">
                  <c:v>251.34865999913416</c:v>
                </c:pt>
                <c:pt idx="200">
                  <c:v>252.82504221327454</c:v>
                </c:pt>
                <c:pt idx="201">
                  <c:v>252.43971078495048</c:v>
                </c:pt>
                <c:pt idx="202">
                  <c:v>255.67389704290608</c:v>
                </c:pt>
                <c:pt idx="203">
                  <c:v>255.92934147291865</c:v>
                </c:pt>
                <c:pt idx="204">
                  <c:v>258.25431874269395</c:v>
                </c:pt>
                <c:pt idx="205">
                  <c:v>265.25955751829247</c:v>
                </c:pt>
                <c:pt idx="206">
                  <c:v>259.62679135818507</c:v>
                </c:pt>
                <c:pt idx="207">
                  <c:v>259.46226782699057</c:v>
                </c:pt>
                <c:pt idx="208">
                  <c:v>259.59648439191244</c:v>
                </c:pt>
                <c:pt idx="209">
                  <c:v>260.31086288262554</c:v>
                </c:pt>
                <c:pt idx="210">
                  <c:v>259.71338269039279</c:v>
                </c:pt>
                <c:pt idx="211">
                  <c:v>260.64856907823537</c:v>
                </c:pt>
                <c:pt idx="212">
                  <c:v>260.97328657401403</c:v>
                </c:pt>
                <c:pt idx="213">
                  <c:v>261.24171970385777</c:v>
                </c:pt>
                <c:pt idx="214">
                  <c:v>254.52223232454446</c:v>
                </c:pt>
                <c:pt idx="215">
                  <c:v>253.02853184396253</c:v>
                </c:pt>
                <c:pt idx="216">
                  <c:v>250.01515348313649</c:v>
                </c:pt>
                <c:pt idx="217">
                  <c:v>254.43997055894715</c:v>
                </c:pt>
                <c:pt idx="218">
                  <c:v>257.18491578992956</c:v>
                </c:pt>
                <c:pt idx="219">
                  <c:v>259.99047495345729</c:v>
                </c:pt>
                <c:pt idx="220">
                  <c:v>263.52340130752924</c:v>
                </c:pt>
                <c:pt idx="221">
                  <c:v>260.88669524180642</c:v>
                </c:pt>
                <c:pt idx="222">
                  <c:v>266.09949344070674</c:v>
                </c:pt>
                <c:pt idx="223">
                  <c:v>268.01316188249569</c:v>
                </c:pt>
                <c:pt idx="224">
                  <c:v>267.64514872061318</c:v>
                </c:pt>
                <c:pt idx="225">
                  <c:v>266.79655366497826</c:v>
                </c:pt>
                <c:pt idx="226">
                  <c:v>267.71009221976897</c:v>
                </c:pt>
                <c:pt idx="227">
                  <c:v>268.96133697016944</c:v>
                </c:pt>
                <c:pt idx="228">
                  <c:v>273.2995627137725</c:v>
                </c:pt>
                <c:pt idx="229">
                  <c:v>273.74117850803145</c:v>
                </c:pt>
                <c:pt idx="230">
                  <c:v>268.29025414556014</c:v>
                </c:pt>
                <c:pt idx="231">
                  <c:v>248.75092003290482</c:v>
                </c:pt>
                <c:pt idx="232">
                  <c:v>254.79066545438818</c:v>
                </c:pt>
                <c:pt idx="233">
                  <c:v>261.12482140537747</c:v>
                </c:pt>
                <c:pt idx="234">
                  <c:v>264.16417716586585</c:v>
                </c:pt>
                <c:pt idx="235">
                  <c:v>271.13477940858138</c:v>
                </c:pt>
                <c:pt idx="236">
                  <c:v>275.80638178118386</c:v>
                </c:pt>
                <c:pt idx="237">
                  <c:v>273.23894878122718</c:v>
                </c:pt>
                <c:pt idx="238">
                  <c:v>271.96605619777478</c:v>
                </c:pt>
                <c:pt idx="239">
                  <c:v>280.09698229207277</c:v>
                </c:pt>
                <c:pt idx="240">
                  <c:v>290.68710222106785</c:v>
                </c:pt>
                <c:pt idx="241">
                  <c:v>290.03333766290012</c:v>
                </c:pt>
                <c:pt idx="242">
                  <c:v>296.80477984153805</c:v>
                </c:pt>
                <c:pt idx="243">
                  <c:v>298.98255184656034</c:v>
                </c:pt>
                <c:pt idx="244">
                  <c:v>306.7324760791447</c:v>
                </c:pt>
                <c:pt idx="245">
                  <c:v>310.10953803524285</c:v>
                </c:pt>
                <c:pt idx="246">
                  <c:v>308.01835736242816</c:v>
                </c:pt>
                <c:pt idx="247">
                  <c:v>308.89292981772542</c:v>
                </c:pt>
                <c:pt idx="248">
                  <c:v>311.7461142139673</c:v>
                </c:pt>
                <c:pt idx="249">
                  <c:v>311.68982984803233</c:v>
                </c:pt>
                <c:pt idx="250">
                  <c:v>315.6730311295841</c:v>
                </c:pt>
                <c:pt idx="251">
                  <c:v>308.69809932025822</c:v>
                </c:pt>
                <c:pt idx="252">
                  <c:v>314.61228731004047</c:v>
                </c:pt>
                <c:pt idx="253">
                  <c:v>312.54708403688812</c:v>
                </c:pt>
                <c:pt idx="254">
                  <c:v>313.69008962202906</c:v>
                </c:pt>
                <c:pt idx="255">
                  <c:v>321.32744512274348</c:v>
                </c:pt>
                <c:pt idx="256">
                  <c:v>322.56570117331285</c:v>
                </c:pt>
                <c:pt idx="257">
                  <c:v>320.53946399965395</c:v>
                </c:pt>
                <c:pt idx="258">
                  <c:v>313.94553405204169</c:v>
                </c:pt>
                <c:pt idx="259">
                  <c:v>315.62107633025965</c:v>
                </c:pt>
                <c:pt idx="260">
                  <c:v>317.21868640949072</c:v>
                </c:pt>
                <c:pt idx="261">
                  <c:v>315.05390310429959</c:v>
                </c:pt>
                <c:pt idx="262">
                  <c:v>316.79438888167334</c:v>
                </c:pt>
                <c:pt idx="263">
                  <c:v>317.62999523747709</c:v>
                </c:pt>
                <c:pt idx="264">
                  <c:v>317.95038316664539</c:v>
                </c:pt>
                <c:pt idx="265">
                  <c:v>323.82560505693425</c:v>
                </c:pt>
                <c:pt idx="266">
                  <c:v>320.7732605966147</c:v>
                </c:pt>
                <c:pt idx="267">
                  <c:v>318.45694246006013</c:v>
                </c:pt>
                <c:pt idx="268">
                  <c:v>319.44841321383768</c:v>
                </c:pt>
                <c:pt idx="269">
                  <c:v>318.88123998787756</c:v>
                </c:pt>
                <c:pt idx="270">
                  <c:v>323.89054855608993</c:v>
                </c:pt>
                <c:pt idx="271">
                  <c:v>328.10321686799188</c:v>
                </c:pt>
                <c:pt idx="272">
                  <c:v>328.65740139412082</c:v>
                </c:pt>
                <c:pt idx="273">
                  <c:v>329.7484521799372</c:v>
                </c:pt>
                <c:pt idx="274">
                  <c:v>329.31982508550936</c:v>
                </c:pt>
                <c:pt idx="275">
                  <c:v>334.14296228947524</c:v>
                </c:pt>
                <c:pt idx="276">
                  <c:v>336.49391695891285</c:v>
                </c:pt>
                <c:pt idx="277">
                  <c:v>341.24778109711258</c:v>
                </c:pt>
                <c:pt idx="278">
                  <c:v>348.27899727237343</c:v>
                </c:pt>
                <c:pt idx="279">
                  <c:v>354.33606096029831</c:v>
                </c:pt>
                <c:pt idx="280">
                  <c:v>354.88591591981685</c:v>
                </c:pt>
                <c:pt idx="281">
                  <c:v>357.37541672078663</c:v>
                </c:pt>
                <c:pt idx="282">
                  <c:v>359.58349569208161</c:v>
                </c:pt>
                <c:pt idx="283">
                  <c:v>361.28934493657226</c:v>
                </c:pt>
                <c:pt idx="284">
                  <c:v>360.44940901415811</c:v>
                </c:pt>
                <c:pt idx="285">
                  <c:v>366.835519764472</c:v>
                </c:pt>
                <c:pt idx="286">
                  <c:v>363.43248040871151</c:v>
                </c:pt>
                <c:pt idx="287">
                  <c:v>369.70602242715552</c:v>
                </c:pt>
                <c:pt idx="288">
                  <c:v>369.5328397627402</c:v>
                </c:pt>
                <c:pt idx="289">
                  <c:v>377.74169805602503</c:v>
                </c:pt>
                <c:pt idx="290">
                  <c:v>378.44308784690696</c:v>
                </c:pt>
                <c:pt idx="291">
                  <c:v>377.19184309650649</c:v>
                </c:pt>
                <c:pt idx="292">
                  <c:v>375.4513573191328</c:v>
                </c:pt>
                <c:pt idx="293">
                  <c:v>380.68580335108499</c:v>
                </c:pt>
                <c:pt idx="294">
                  <c:v>385.35740572368746</c:v>
                </c:pt>
                <c:pt idx="295">
                  <c:v>387.4442568298918</c:v>
                </c:pt>
                <c:pt idx="296">
                  <c:v>394.63999653634721</c:v>
                </c:pt>
              </c:numCache>
            </c:numRef>
          </c:val>
          <c:smooth val="0"/>
          <c:extLst>
            <c:ext xmlns:c16="http://schemas.microsoft.com/office/drawing/2014/chart" uri="{C3380CC4-5D6E-409C-BE32-E72D297353CC}">
              <c16:uniqueId val="{00000003-C6FA-47E4-9B44-8EB0DE04C345}"/>
            </c:ext>
          </c:extLst>
        </c:ser>
        <c:ser>
          <c:idx val="4"/>
          <c:order val="6"/>
          <c:tx>
            <c:strRef>
              <c:f>'Monthly Raw Data'!$AG$4</c:f>
              <c:strCache>
                <c:ptCount val="1"/>
                <c:pt idx="0">
                  <c:v>Australian Fixed Income [D]</c:v>
                </c:pt>
              </c:strCache>
            </c:strRef>
          </c:tx>
          <c:spPr>
            <a:ln w="19050" cap="rnd">
              <a:solidFill>
                <a:schemeClr val="accent5"/>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Data'!$AG$5:$AG$301</c:f>
              <c:numCache>
                <c:formatCode>General</c:formatCode>
                <c:ptCount val="297"/>
                <c:pt idx="0">
                  <c:v>100</c:v>
                </c:pt>
                <c:pt idx="1">
                  <c:v>101.50033761087789</c:v>
                </c:pt>
                <c:pt idx="2">
                  <c:v>102.17789656309562</c:v>
                </c:pt>
                <c:pt idx="3">
                  <c:v>102.78468406661923</c:v>
                </c:pt>
                <c:pt idx="4">
                  <c:v>101.79166059803157</c:v>
                </c:pt>
                <c:pt idx="5">
                  <c:v>101.40776182942058</c:v>
                </c:pt>
                <c:pt idx="6">
                  <c:v>101.47670912478549</c:v>
                </c:pt>
                <c:pt idx="7">
                  <c:v>101.89900062049716</c:v>
                </c:pt>
                <c:pt idx="8">
                  <c:v>104.61208666894495</c:v>
                </c:pt>
                <c:pt idx="9">
                  <c:v>105.80667908041009</c:v>
                </c:pt>
                <c:pt idx="10">
                  <c:v>107.53497885264744</c:v>
                </c:pt>
                <c:pt idx="11">
                  <c:v>106.38439414024944</c:v>
                </c:pt>
                <c:pt idx="12">
                  <c:v>105.44971507580068</c:v>
                </c:pt>
                <c:pt idx="13">
                  <c:v>105.49959426839621</c:v>
                </c:pt>
                <c:pt idx="14">
                  <c:v>106.10783539410401</c:v>
                </c:pt>
                <c:pt idx="15">
                  <c:v>105.19590124147882</c:v>
                </c:pt>
                <c:pt idx="16">
                  <c:v>106.71470840481493</c:v>
                </c:pt>
                <c:pt idx="17">
                  <c:v>106.42606464286352</c:v>
                </c:pt>
                <c:pt idx="18">
                  <c:v>107.77687868553788</c:v>
                </c:pt>
                <c:pt idx="19">
                  <c:v>108.88912767562674</c:v>
                </c:pt>
                <c:pt idx="20">
                  <c:v>110.02477713264184</c:v>
                </c:pt>
                <c:pt idx="21">
                  <c:v>111.88085314511108</c:v>
                </c:pt>
                <c:pt idx="22">
                  <c:v>112.09268295046536</c:v>
                </c:pt>
                <c:pt idx="23">
                  <c:v>112.23245869931593</c:v>
                </c:pt>
                <c:pt idx="24">
                  <c:v>114.74180962280781</c:v>
                </c:pt>
                <c:pt idx="25">
                  <c:v>115.20993297091583</c:v>
                </c:pt>
                <c:pt idx="26">
                  <c:v>116.32457616224927</c:v>
                </c:pt>
                <c:pt idx="27">
                  <c:v>115.80896782279029</c:v>
                </c:pt>
                <c:pt idx="28">
                  <c:v>116.44727897603428</c:v>
                </c:pt>
                <c:pt idx="29">
                  <c:v>118.31335932941839</c:v>
                </c:pt>
                <c:pt idx="30">
                  <c:v>118.32210956491944</c:v>
                </c:pt>
                <c:pt idx="31">
                  <c:v>117.28670303382347</c:v>
                </c:pt>
                <c:pt idx="32">
                  <c:v>117.26301754293954</c:v>
                </c:pt>
                <c:pt idx="33">
                  <c:v>118.04586434512751</c:v>
                </c:pt>
                <c:pt idx="34">
                  <c:v>116.74396041359255</c:v>
                </c:pt>
                <c:pt idx="35">
                  <c:v>116.2007617550293</c:v>
                </c:pt>
                <c:pt idx="36">
                  <c:v>118.2391105884405</c:v>
                </c:pt>
                <c:pt idx="37">
                  <c:v>118.01693441342209</c:v>
                </c:pt>
                <c:pt idx="38">
                  <c:v>119.52676332209103</c:v>
                </c:pt>
                <c:pt idx="39">
                  <c:v>120.6351644887511</c:v>
                </c:pt>
                <c:pt idx="40">
                  <c:v>119.51821260336038</c:v>
                </c:pt>
                <c:pt idx="41">
                  <c:v>120.60346982465612</c:v>
                </c:pt>
                <c:pt idx="42">
                  <c:v>121.07606804889987</c:v>
                </c:pt>
                <c:pt idx="43">
                  <c:v>121.59572372855803</c:v>
                </c:pt>
                <c:pt idx="44">
                  <c:v>123.31017133645172</c:v>
                </c:pt>
                <c:pt idx="45">
                  <c:v>124.22381563282303</c:v>
                </c:pt>
                <c:pt idx="46">
                  <c:v>125.11451550060042</c:v>
                </c:pt>
                <c:pt idx="47">
                  <c:v>126.49232131206789</c:v>
                </c:pt>
                <c:pt idx="48">
                  <c:v>126.46772374451936</c:v>
                </c:pt>
                <c:pt idx="49">
                  <c:v>126.5512927689137</c:v>
                </c:pt>
                <c:pt idx="50">
                  <c:v>126.21975290133011</c:v>
                </c:pt>
                <c:pt idx="51">
                  <c:v>126.42568271076024</c:v>
                </c:pt>
                <c:pt idx="52">
                  <c:v>128.41349679647323</c:v>
                </c:pt>
                <c:pt idx="53">
                  <c:v>129.74909055980697</c:v>
                </c:pt>
                <c:pt idx="54">
                  <c:v>130.50676974653103</c:v>
                </c:pt>
                <c:pt idx="55">
                  <c:v>131.1030683684117</c:v>
                </c:pt>
                <c:pt idx="56">
                  <c:v>132.17663960744221</c:v>
                </c:pt>
                <c:pt idx="57">
                  <c:v>131.36366577292654</c:v>
                </c:pt>
                <c:pt idx="58">
                  <c:v>131.5974139206271</c:v>
                </c:pt>
                <c:pt idx="59">
                  <c:v>132.58285575194026</c:v>
                </c:pt>
                <c:pt idx="60">
                  <c:v>133.80620708073621</c:v>
                </c:pt>
                <c:pt idx="61">
                  <c:v>134.02741417429846</c:v>
                </c:pt>
                <c:pt idx="62">
                  <c:v>134.79281751027588</c:v>
                </c:pt>
                <c:pt idx="63">
                  <c:v>134.94616039951245</c:v>
                </c:pt>
                <c:pt idx="64">
                  <c:v>134.19275657215374</c:v>
                </c:pt>
                <c:pt idx="65">
                  <c:v>134.72751852156941</c:v>
                </c:pt>
                <c:pt idx="66">
                  <c:v>134.96123816687418</c:v>
                </c:pt>
                <c:pt idx="67">
                  <c:v>135.07097239058436</c:v>
                </c:pt>
                <c:pt idx="68">
                  <c:v>136.4978878299616</c:v>
                </c:pt>
                <c:pt idx="69">
                  <c:v>137.64476723090962</c:v>
                </c:pt>
                <c:pt idx="70">
                  <c:v>137.38984180315279</c:v>
                </c:pt>
                <c:pt idx="71">
                  <c:v>138.42940968403101</c:v>
                </c:pt>
                <c:pt idx="72">
                  <c:v>138.00925586800201</c:v>
                </c:pt>
                <c:pt idx="73">
                  <c:v>138.65494914175014</c:v>
                </c:pt>
                <c:pt idx="74">
                  <c:v>140.31435862341414</c:v>
                </c:pt>
                <c:pt idx="75">
                  <c:v>139.94177530592339</c:v>
                </c:pt>
                <c:pt idx="76">
                  <c:v>140.90985917821328</c:v>
                </c:pt>
                <c:pt idx="77">
                  <c:v>140.97846444482897</c:v>
                </c:pt>
                <c:pt idx="78">
                  <c:v>140.34343106709841</c:v>
                </c:pt>
                <c:pt idx="79">
                  <c:v>141.28229998372518</c:v>
                </c:pt>
                <c:pt idx="80">
                  <c:v>142.49462088535856</c:v>
                </c:pt>
                <c:pt idx="81">
                  <c:v>142.42555958041058</c:v>
                </c:pt>
                <c:pt idx="82">
                  <c:v>142.36952387032898</c:v>
                </c:pt>
                <c:pt idx="83">
                  <c:v>143.01886545073549</c:v>
                </c:pt>
                <c:pt idx="84">
                  <c:v>142.78828106896532</c:v>
                </c:pt>
                <c:pt idx="85">
                  <c:v>144.53336875231054</c:v>
                </c:pt>
                <c:pt idx="86">
                  <c:v>143.64301091328238</c:v>
                </c:pt>
                <c:pt idx="87">
                  <c:v>145.94574796984568</c:v>
                </c:pt>
                <c:pt idx="88">
                  <c:v>145.9680083409412</c:v>
                </c:pt>
                <c:pt idx="89">
                  <c:v>146.1270802117273</c:v>
                </c:pt>
                <c:pt idx="90">
                  <c:v>146.54740504213092</c:v>
                </c:pt>
                <c:pt idx="91">
                  <c:v>149.16694622766528</c:v>
                </c:pt>
                <c:pt idx="92">
                  <c:v>152.39270486880784</c:v>
                </c:pt>
                <c:pt idx="93">
                  <c:v>154.35093346771274</c:v>
                </c:pt>
                <c:pt idx="94">
                  <c:v>157.45031248601614</c:v>
                </c:pt>
                <c:pt idx="95">
                  <c:v>162.11116675412165</c:v>
                </c:pt>
                <c:pt idx="96">
                  <c:v>164.13429530819226</c:v>
                </c:pt>
                <c:pt idx="97">
                  <c:v>166.44318888224163</c:v>
                </c:pt>
                <c:pt idx="98">
                  <c:v>164.39916807207243</c:v>
                </c:pt>
                <c:pt idx="99">
                  <c:v>164.58865199914393</c:v>
                </c:pt>
                <c:pt idx="100">
                  <c:v>164.59446648788079</c:v>
                </c:pt>
                <c:pt idx="101">
                  <c:v>163.41024894847553</c:v>
                </c:pt>
                <c:pt idx="102">
                  <c:v>162.40650857907877</c:v>
                </c:pt>
                <c:pt idx="103">
                  <c:v>162.91587489386438</c:v>
                </c:pt>
                <c:pt idx="104">
                  <c:v>164.08310500539142</c:v>
                </c:pt>
                <c:pt idx="105">
                  <c:v>165.27031529635241</c:v>
                </c:pt>
                <c:pt idx="106">
                  <c:v>165.14561731486359</c:v>
                </c:pt>
                <c:pt idx="107">
                  <c:v>167.61985328676823</c:v>
                </c:pt>
                <c:pt idx="108">
                  <c:v>166.98082957363002</c:v>
                </c:pt>
                <c:pt idx="109">
                  <c:v>169.22958309260704</c:v>
                </c:pt>
                <c:pt idx="110">
                  <c:v>170.069035652792</c:v>
                </c:pt>
                <c:pt idx="111">
                  <c:v>169.07703827045205</c:v>
                </c:pt>
                <c:pt idx="112">
                  <c:v>170.00858207136622</c:v>
                </c:pt>
                <c:pt idx="113">
                  <c:v>172.80575018733219</c:v>
                </c:pt>
                <c:pt idx="114">
                  <c:v>175.16469396835171</c:v>
                </c:pt>
                <c:pt idx="115">
                  <c:v>175.64245112622962</c:v>
                </c:pt>
                <c:pt idx="116">
                  <c:v>179.01588067985074</c:v>
                </c:pt>
                <c:pt idx="117">
                  <c:v>177.40033638527507</c:v>
                </c:pt>
                <c:pt idx="118">
                  <c:v>177.40116295475235</c:v>
                </c:pt>
                <c:pt idx="119">
                  <c:v>177.01125018063414</c:v>
                </c:pt>
                <c:pt idx="120">
                  <c:v>177.05827913365277</c:v>
                </c:pt>
                <c:pt idx="121">
                  <c:v>178.68750457819752</c:v>
                </c:pt>
                <c:pt idx="122">
                  <c:v>179.44544028648346</c:v>
                </c:pt>
                <c:pt idx="123">
                  <c:v>180.67075828058748</c:v>
                </c:pt>
                <c:pt idx="124">
                  <c:v>181.53606251373475</c:v>
                </c:pt>
                <c:pt idx="125">
                  <c:v>183.86684592773463</c:v>
                </c:pt>
                <c:pt idx="126">
                  <c:v>184.8807046476293</c:v>
                </c:pt>
                <c:pt idx="127">
                  <c:v>187.97495323469428</c:v>
                </c:pt>
                <c:pt idx="128">
                  <c:v>191.71805886143773</c:v>
                </c:pt>
                <c:pt idx="129">
                  <c:v>193.44385042284742</c:v>
                </c:pt>
                <c:pt idx="130">
                  <c:v>192.33821398857694</c:v>
                </c:pt>
                <c:pt idx="131">
                  <c:v>195.6717971929132</c:v>
                </c:pt>
                <c:pt idx="132">
                  <c:v>197.19678937613116</c:v>
                </c:pt>
                <c:pt idx="133">
                  <c:v>197.46462638917131</c:v>
                </c:pt>
                <c:pt idx="134">
                  <c:v>197.04584068813921</c:v>
                </c:pt>
                <c:pt idx="135">
                  <c:v>198.74341487773773</c:v>
                </c:pt>
                <c:pt idx="136">
                  <c:v>201.91137066026104</c:v>
                </c:pt>
                <c:pt idx="137">
                  <c:v>208.16368469851753</c:v>
                </c:pt>
                <c:pt idx="138">
                  <c:v>207.82427816970173</c:v>
                </c:pt>
                <c:pt idx="139">
                  <c:v>208.59649357826794</c:v>
                </c:pt>
                <c:pt idx="140">
                  <c:v>209.90555161114088</c:v>
                </c:pt>
                <c:pt idx="141">
                  <c:v>211.94794778475128</c:v>
                </c:pt>
                <c:pt idx="142">
                  <c:v>211.98642601903924</c:v>
                </c:pt>
                <c:pt idx="143">
                  <c:v>212.00290040379369</c:v>
                </c:pt>
                <c:pt idx="144">
                  <c:v>212.38856632094235</c:v>
                </c:pt>
                <c:pt idx="145">
                  <c:v>211.90878549296485</c:v>
                </c:pt>
                <c:pt idx="146">
                  <c:v>213.16793583084652</c:v>
                </c:pt>
                <c:pt idx="147">
                  <c:v>212.73575400380304</c:v>
                </c:pt>
                <c:pt idx="148">
                  <c:v>216.01626574721763</c:v>
                </c:pt>
                <c:pt idx="149">
                  <c:v>215.85531271831078</c:v>
                </c:pt>
                <c:pt idx="150">
                  <c:v>213.59675437518925</c:v>
                </c:pt>
                <c:pt idx="151">
                  <c:v>215.42407147032768</c:v>
                </c:pt>
                <c:pt idx="152">
                  <c:v>214.73328740647318</c:v>
                </c:pt>
                <c:pt idx="153">
                  <c:v>215.80854028685403</c:v>
                </c:pt>
                <c:pt idx="154">
                  <c:v>215.68726259285745</c:v>
                </c:pt>
                <c:pt idx="155">
                  <c:v>215.47432119406821</c:v>
                </c:pt>
                <c:pt idx="156">
                  <c:v>216.60595181327989</c:v>
                </c:pt>
                <c:pt idx="157">
                  <c:v>218.96150380920292</c:v>
                </c:pt>
                <c:pt idx="158">
                  <c:v>219.70886512865863</c:v>
                </c:pt>
                <c:pt idx="159">
                  <c:v>219.7505356312727</c:v>
                </c:pt>
                <c:pt idx="160">
                  <c:v>221.74305261228753</c:v>
                </c:pt>
                <c:pt idx="161">
                  <c:v>224.78716548519506</c:v>
                </c:pt>
                <c:pt idx="162">
                  <c:v>226.59567099912607</c:v>
                </c:pt>
                <c:pt idx="163">
                  <c:v>227.25552996357132</c:v>
                </c:pt>
                <c:pt idx="164">
                  <c:v>229.56029069023418</c:v>
                </c:pt>
                <c:pt idx="165">
                  <c:v>228.79585643571292</c:v>
                </c:pt>
                <c:pt idx="166">
                  <c:v>230.98464091399222</c:v>
                </c:pt>
                <c:pt idx="167">
                  <c:v>233.91269203132885</c:v>
                </c:pt>
                <c:pt idx="168">
                  <c:v>237.85445935658137</c:v>
                </c:pt>
                <c:pt idx="169">
                  <c:v>241.68478231437763</c:v>
                </c:pt>
                <c:pt idx="170">
                  <c:v>242.36105865878579</c:v>
                </c:pt>
                <c:pt idx="171">
                  <c:v>244.20228492305944</c:v>
                </c:pt>
                <c:pt idx="172">
                  <c:v>241.49655249272001</c:v>
                </c:pt>
                <c:pt idx="173">
                  <c:v>241.58391233575159</c:v>
                </c:pt>
                <c:pt idx="174">
                  <c:v>239.34764286612136</c:v>
                </c:pt>
                <c:pt idx="175">
                  <c:v>242.45919240741804</c:v>
                </c:pt>
                <c:pt idx="176">
                  <c:v>244.00385124371653</c:v>
                </c:pt>
                <c:pt idx="177">
                  <c:v>244.61391652275358</c:v>
                </c:pt>
                <c:pt idx="178">
                  <c:v>245.34574403651524</c:v>
                </c:pt>
                <c:pt idx="179">
                  <c:v>243.19669189793774</c:v>
                </c:pt>
                <c:pt idx="180">
                  <c:v>244.00613143537802</c:v>
                </c:pt>
                <c:pt idx="181">
                  <c:v>246.98839410946712</c:v>
                </c:pt>
                <c:pt idx="182">
                  <c:v>249.54309234462727</c:v>
                </c:pt>
                <c:pt idx="183">
                  <c:v>249.01109512760118</c:v>
                </c:pt>
                <c:pt idx="184">
                  <c:v>249.65533477916512</c:v>
                </c:pt>
                <c:pt idx="185">
                  <c:v>252.79113985926116</c:v>
                </c:pt>
                <c:pt idx="186">
                  <c:v>256.14530179334253</c:v>
                </c:pt>
                <c:pt idx="187">
                  <c:v>258.02893962252028</c:v>
                </c:pt>
                <c:pt idx="188">
                  <c:v>259.11738911214212</c:v>
                </c:pt>
                <c:pt idx="189">
                  <c:v>258.53485714741782</c:v>
                </c:pt>
                <c:pt idx="190">
                  <c:v>255.23493527248462</c:v>
                </c:pt>
                <c:pt idx="191">
                  <c:v>251.55969385006688</c:v>
                </c:pt>
                <c:pt idx="192">
                  <c:v>251.12811057333457</c:v>
                </c:pt>
                <c:pt idx="193">
                  <c:v>252.66478873881772</c:v>
                </c:pt>
                <c:pt idx="194">
                  <c:v>253.09936476710581</c:v>
                </c:pt>
                <c:pt idx="195">
                  <c:v>254.21583211176844</c:v>
                </c:pt>
                <c:pt idx="196">
                  <c:v>256.12609117859432</c:v>
                </c:pt>
                <c:pt idx="197">
                  <c:v>259.11083356111527</c:v>
                </c:pt>
                <c:pt idx="198">
                  <c:v>256.78463903283421</c:v>
                </c:pt>
                <c:pt idx="199">
                  <c:v>257.4212400423321</c:v>
                </c:pt>
                <c:pt idx="200">
                  <c:v>257.40607676778302</c:v>
                </c:pt>
                <c:pt idx="201">
                  <c:v>256.60453239397066</c:v>
                </c:pt>
                <c:pt idx="202">
                  <c:v>259.41352900418076</c:v>
                </c:pt>
                <c:pt idx="203">
                  <c:v>261.66920860532963</c:v>
                </c:pt>
                <c:pt idx="204">
                  <c:v>260.30796268580383</c:v>
                </c:pt>
                <c:pt idx="205">
                  <c:v>259.61122162123365</c:v>
                </c:pt>
                <c:pt idx="206">
                  <c:v>260.37240660263728</c:v>
                </c:pt>
                <c:pt idx="207">
                  <c:v>262.5655234450735</c:v>
                </c:pt>
                <c:pt idx="208">
                  <c:v>261.65521392900712</c:v>
                </c:pt>
                <c:pt idx="209">
                  <c:v>263.45012380015635</c:v>
                </c:pt>
                <c:pt idx="210">
                  <c:v>264.70730747272995</c:v>
                </c:pt>
                <c:pt idx="211">
                  <c:v>265.12954196365013</c:v>
                </c:pt>
                <c:pt idx="212">
                  <c:v>267.28004772441187</c:v>
                </c:pt>
                <c:pt idx="213">
                  <c:v>266.14439826739675</c:v>
                </c:pt>
                <c:pt idx="214">
                  <c:v>267.43356162802303</c:v>
                </c:pt>
                <c:pt idx="215">
                  <c:v>268.08301721801263</c:v>
                </c:pt>
                <c:pt idx="216">
                  <c:v>272.11325597973183</c:v>
                </c:pt>
                <c:pt idx="217">
                  <c:v>273.85472385881434</c:v>
                </c:pt>
                <c:pt idx="218">
                  <c:v>276.42202015290439</c:v>
                </c:pt>
                <c:pt idx="219">
                  <c:v>281.45731039422566</c:v>
                </c:pt>
                <c:pt idx="220">
                  <c:v>282.25760066262416</c:v>
                </c:pt>
                <c:pt idx="221">
                  <c:v>287.05868671791262</c:v>
                </c:pt>
                <c:pt idx="222">
                  <c:v>290.04548127292895</c:v>
                </c:pt>
                <c:pt idx="223">
                  <c:v>292.79861318743201</c:v>
                </c:pt>
                <c:pt idx="224">
                  <c:v>297.22517776231729</c:v>
                </c:pt>
                <c:pt idx="225">
                  <c:v>295.77634398059382</c:v>
                </c:pt>
                <c:pt idx="226">
                  <c:v>294.32702565814225</c:v>
                </c:pt>
                <c:pt idx="227">
                  <c:v>296.74628050860866</c:v>
                </c:pt>
                <c:pt idx="228">
                  <c:v>291.87040416682277</c:v>
                </c:pt>
                <c:pt idx="229">
                  <c:v>298.66503328937364</c:v>
                </c:pt>
                <c:pt idx="230">
                  <c:v>301.23261460742134</c:v>
                </c:pt>
                <c:pt idx="231">
                  <c:v>300.58851746783625</c:v>
                </c:pt>
                <c:pt idx="232">
                  <c:v>300.38030746674457</c:v>
                </c:pt>
                <c:pt idx="233">
                  <c:v>301.23754552188933</c:v>
                </c:pt>
                <c:pt idx="234">
                  <c:v>302.16957386353153</c:v>
                </c:pt>
                <c:pt idx="235">
                  <c:v>303.29385086463486</c:v>
                </c:pt>
                <c:pt idx="236">
                  <c:v>302.01386527544611</c:v>
                </c:pt>
                <c:pt idx="237">
                  <c:v>305.26196979487156</c:v>
                </c:pt>
                <c:pt idx="238">
                  <c:v>306.11239577742754</c:v>
                </c:pt>
                <c:pt idx="239">
                  <c:v>305.77954479963859</c:v>
                </c:pt>
                <c:pt idx="240">
                  <c:v>304.94744585756206</c:v>
                </c:pt>
                <c:pt idx="241">
                  <c:v>303.66885688576605</c:v>
                </c:pt>
                <c:pt idx="242">
                  <c:v>292.79482236879471</c:v>
                </c:pt>
                <c:pt idx="243">
                  <c:v>295.13823234412024</c:v>
                </c:pt>
                <c:pt idx="244">
                  <c:v>296.79738530422225</c:v>
                </c:pt>
                <c:pt idx="245">
                  <c:v>297.58390891546446</c:v>
                </c:pt>
                <c:pt idx="246">
                  <c:v>299.63169204187511</c:v>
                </c:pt>
                <c:pt idx="247">
                  <c:v>304.90722897713221</c:v>
                </c:pt>
                <c:pt idx="248">
                  <c:v>305.18535535504492</c:v>
                </c:pt>
                <c:pt idx="249">
                  <c:v>300.5620672445628</c:v>
                </c:pt>
                <c:pt idx="250">
                  <c:v>289.87734564028835</c:v>
                </c:pt>
                <c:pt idx="251">
                  <c:v>295.91044775268642</c:v>
                </c:pt>
                <c:pt idx="252">
                  <c:v>296.18124901488648</c:v>
                </c:pt>
                <c:pt idx="253">
                  <c:v>293.1606221160925</c:v>
                </c:pt>
                <c:pt idx="254">
                  <c:v>289.61324244109392</c:v>
                </c:pt>
                <c:pt idx="255">
                  <c:v>278.76004317542964</c:v>
                </c:pt>
                <c:pt idx="256">
                  <c:v>274.61311560543271</c:v>
                </c:pt>
                <c:pt idx="257">
                  <c:v>272.18055013614219</c:v>
                </c:pt>
                <c:pt idx="258">
                  <c:v>268.15296209722953</c:v>
                </c:pt>
                <c:pt idx="259">
                  <c:v>277.15381916427037</c:v>
                </c:pt>
                <c:pt idx="260">
                  <c:v>270.10349504927689</c:v>
                </c:pt>
                <c:pt idx="261">
                  <c:v>266.42340821957845</c:v>
                </c:pt>
                <c:pt idx="262">
                  <c:v>268.89245675545317</c:v>
                </c:pt>
                <c:pt idx="263">
                  <c:v>273.05659977249445</c:v>
                </c:pt>
                <c:pt idx="264">
                  <c:v>267.4329060729205</c:v>
                </c:pt>
                <c:pt idx="265">
                  <c:v>274.80143093427773</c:v>
                </c:pt>
                <c:pt idx="266">
                  <c:v>271.16503827729298</c:v>
                </c:pt>
                <c:pt idx="267">
                  <c:v>279.72841207167727</c:v>
                </c:pt>
                <c:pt idx="268">
                  <c:v>280.26819044274822</c:v>
                </c:pt>
                <c:pt idx="269">
                  <c:v>276.89028601299134</c:v>
                </c:pt>
                <c:pt idx="270">
                  <c:v>271.47947670741513</c:v>
                </c:pt>
                <c:pt idx="271">
                  <c:v>272.88866365662415</c:v>
                </c:pt>
                <c:pt idx="272">
                  <c:v>274.90686129622674</c:v>
                </c:pt>
                <c:pt idx="273">
                  <c:v>270.71324680196045</c:v>
                </c:pt>
                <c:pt idx="274">
                  <c:v>265.70731402828119</c:v>
                </c:pt>
                <c:pt idx="275">
                  <c:v>273.60928972884875</c:v>
                </c:pt>
                <c:pt idx="276">
                  <c:v>280.96139721024309</c:v>
                </c:pt>
                <c:pt idx="277">
                  <c:v>281.54124994976507</c:v>
                </c:pt>
                <c:pt idx="278">
                  <c:v>280.69535584813639</c:v>
                </c:pt>
                <c:pt idx="279">
                  <c:v>283.84401550872423</c:v>
                </c:pt>
                <c:pt idx="280">
                  <c:v>278.21128654969152</c:v>
                </c:pt>
                <c:pt idx="281">
                  <c:v>279.3051229921137</c:v>
                </c:pt>
                <c:pt idx="282">
                  <c:v>281.46386594525262</c:v>
                </c:pt>
                <c:pt idx="283">
                  <c:v>285.62615630656899</c:v>
                </c:pt>
                <c:pt idx="284">
                  <c:v>289.07580126647611</c:v>
                </c:pt>
                <c:pt idx="285">
                  <c:v>289.96564606238047</c:v>
                </c:pt>
                <c:pt idx="286">
                  <c:v>284.50983147388519</c:v>
                </c:pt>
                <c:pt idx="287">
                  <c:v>287.73992247918466</c:v>
                </c:pt>
                <c:pt idx="288">
                  <c:v>289.19890311380192</c:v>
                </c:pt>
                <c:pt idx="289">
                  <c:v>289.7422727867397</c:v>
                </c:pt>
                <c:pt idx="290">
                  <c:v>292.42936465024627</c:v>
                </c:pt>
                <c:pt idx="291">
                  <c:v>292.93844594107424</c:v>
                </c:pt>
                <c:pt idx="292">
                  <c:v>297.91730143877311</c:v>
                </c:pt>
                <c:pt idx="293">
                  <c:v>298.40261173152982</c:v>
                </c:pt>
                <c:pt idx="294">
                  <c:v>300.63514738731436</c:v>
                </c:pt>
                <c:pt idx="295">
                  <c:v>300.52911847505413</c:v>
                </c:pt>
                <c:pt idx="296">
                  <c:v>301.53505352892506</c:v>
                </c:pt>
              </c:numCache>
            </c:numRef>
          </c:val>
          <c:smooth val="0"/>
          <c:extLst>
            <c:ext xmlns:c16="http://schemas.microsoft.com/office/drawing/2014/chart" uri="{C3380CC4-5D6E-409C-BE32-E72D297353CC}">
              <c16:uniqueId val="{00000001-048F-4678-AC7E-05D11115C593}"/>
            </c:ext>
          </c:extLst>
        </c:ser>
        <c:ser>
          <c:idx val="7"/>
          <c:order val="7"/>
          <c:tx>
            <c:strRef>
              <c:f>'Monthly Raw Data'!$AH$4</c:f>
              <c:strCache>
                <c:ptCount val="1"/>
                <c:pt idx="0">
                  <c:v>Int'l Fixed Income (Hedged) [D]</c:v>
                </c:pt>
              </c:strCache>
            </c:strRef>
          </c:tx>
          <c:spPr>
            <a:ln w="19050" cap="rnd">
              <a:solidFill>
                <a:schemeClr val="accent2">
                  <a:lumMod val="60000"/>
                </a:schemeClr>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Data'!$AH$5:$AH$301</c:f>
              <c:numCache>
                <c:formatCode>General</c:formatCode>
                <c:ptCount val="297"/>
                <c:pt idx="0">
                  <c:v>100</c:v>
                </c:pt>
                <c:pt idx="1">
                  <c:v>101.09659744650546</c:v>
                </c:pt>
                <c:pt idx="2">
                  <c:v>102.13279396871405</c:v>
                </c:pt>
                <c:pt idx="3">
                  <c:v>102.86736875960815</c:v>
                </c:pt>
                <c:pt idx="4">
                  <c:v>102.21061639573998</c:v>
                </c:pt>
                <c:pt idx="5">
                  <c:v>102.78428159274655</c:v>
                </c:pt>
                <c:pt idx="6">
                  <c:v>103.45491372527249</c:v>
                </c:pt>
                <c:pt idx="7">
                  <c:v>104.72649197940819</c:v>
                </c:pt>
                <c:pt idx="8">
                  <c:v>105.71626306852012</c:v>
                </c:pt>
                <c:pt idx="9">
                  <c:v>106.61012017007982</c:v>
                </c:pt>
                <c:pt idx="10">
                  <c:v>108.68442766534635</c:v>
                </c:pt>
                <c:pt idx="11">
                  <c:v>107.97732524414036</c:v>
                </c:pt>
                <c:pt idx="12">
                  <c:v>107.38470698372527</c:v>
                </c:pt>
                <c:pt idx="13">
                  <c:v>107.8478126441821</c:v>
                </c:pt>
                <c:pt idx="14">
                  <c:v>108.40367344828974</c:v>
                </c:pt>
                <c:pt idx="15">
                  <c:v>107.66996016027784</c:v>
                </c:pt>
                <c:pt idx="16">
                  <c:v>109.16380615802261</c:v>
                </c:pt>
                <c:pt idx="17">
                  <c:v>109.67582603768024</c:v>
                </c:pt>
                <c:pt idx="18">
                  <c:v>111.39059966343956</c:v>
                </c:pt>
                <c:pt idx="19">
                  <c:v>113.05961791389952</c:v>
                </c:pt>
                <c:pt idx="20">
                  <c:v>114.95492425475217</c:v>
                </c:pt>
                <c:pt idx="21">
                  <c:v>116.91541764702507</c:v>
                </c:pt>
                <c:pt idx="22">
                  <c:v>116.89885764717822</c:v>
                </c:pt>
                <c:pt idx="23">
                  <c:v>117.13644099758206</c:v>
                </c:pt>
                <c:pt idx="24">
                  <c:v>119.36084143943729</c:v>
                </c:pt>
                <c:pt idx="25">
                  <c:v>120.36899125670297</c:v>
                </c:pt>
                <c:pt idx="26">
                  <c:v>121.75256488552542</c:v>
                </c:pt>
                <c:pt idx="27">
                  <c:v>121.93568210926537</c:v>
                </c:pt>
                <c:pt idx="28">
                  <c:v>122.64986799861394</c:v>
                </c:pt>
                <c:pt idx="29">
                  <c:v>125.19426889993743</c:v>
                </c:pt>
                <c:pt idx="30">
                  <c:v>124.86555768910469</c:v>
                </c:pt>
                <c:pt idx="31">
                  <c:v>122.89300325648092</c:v>
                </c:pt>
                <c:pt idx="32">
                  <c:v>122.69409181323384</c:v>
                </c:pt>
                <c:pt idx="33">
                  <c:v>124.76495329697156</c:v>
                </c:pt>
                <c:pt idx="34">
                  <c:v>123.91541573257419</c:v>
                </c:pt>
                <c:pt idx="35">
                  <c:v>124.46428879108174</c:v>
                </c:pt>
                <c:pt idx="36">
                  <c:v>125.89246912469393</c:v>
                </c:pt>
                <c:pt idx="37">
                  <c:v>127.0145287674957</c:v>
                </c:pt>
                <c:pt idx="38">
                  <c:v>128.7241333759618</c:v>
                </c:pt>
                <c:pt idx="39">
                  <c:v>129.68738932081027</c:v>
                </c:pt>
                <c:pt idx="40">
                  <c:v>128.40097407259216</c:v>
                </c:pt>
                <c:pt idx="41">
                  <c:v>128.64946979283729</c:v>
                </c:pt>
                <c:pt idx="42">
                  <c:v>129.03207279507913</c:v>
                </c:pt>
                <c:pt idx="43">
                  <c:v>130.15279232228633</c:v>
                </c:pt>
                <c:pt idx="44">
                  <c:v>132.56366027686792</c:v>
                </c:pt>
                <c:pt idx="45">
                  <c:v>133.61440662553153</c:v>
                </c:pt>
                <c:pt idx="46">
                  <c:v>134.86760615151348</c:v>
                </c:pt>
                <c:pt idx="47">
                  <c:v>135.79965654751763</c:v>
                </c:pt>
                <c:pt idx="48">
                  <c:v>137.04711272095156</c:v>
                </c:pt>
                <c:pt idx="49">
                  <c:v>138.55809305379796</c:v>
                </c:pt>
                <c:pt idx="50">
                  <c:v>138.2570456577383</c:v>
                </c:pt>
                <c:pt idx="51">
                  <c:v>139.28328703553026</c:v>
                </c:pt>
                <c:pt idx="52">
                  <c:v>141.41244354763055</c:v>
                </c:pt>
                <c:pt idx="53">
                  <c:v>143.05523382145446</c:v>
                </c:pt>
                <c:pt idx="54">
                  <c:v>144.68002825729451</c:v>
                </c:pt>
                <c:pt idx="55">
                  <c:v>144.13182525658425</c:v>
                </c:pt>
                <c:pt idx="56">
                  <c:v>145.73278477934997</c:v>
                </c:pt>
                <c:pt idx="57">
                  <c:v>145.42809992667654</c:v>
                </c:pt>
                <c:pt idx="58">
                  <c:v>144.77967542400299</c:v>
                </c:pt>
                <c:pt idx="59">
                  <c:v>145.69832466406172</c:v>
                </c:pt>
                <c:pt idx="60">
                  <c:v>147.11128511342164</c:v>
                </c:pt>
                <c:pt idx="61">
                  <c:v>147.00838338026927</c:v>
                </c:pt>
                <c:pt idx="62">
                  <c:v>147.50326892482528</c:v>
                </c:pt>
                <c:pt idx="63">
                  <c:v>146.25753575715575</c:v>
                </c:pt>
                <c:pt idx="64">
                  <c:v>145.70693969288379</c:v>
                </c:pt>
                <c:pt idx="65">
                  <c:v>146.4869826914499</c:v>
                </c:pt>
                <c:pt idx="66">
                  <c:v>146.52297436741759</c:v>
                </c:pt>
                <c:pt idx="67">
                  <c:v>148.13178313866558</c:v>
                </c:pt>
                <c:pt idx="68">
                  <c:v>150.52771837662223</c:v>
                </c:pt>
                <c:pt idx="69">
                  <c:v>151.67323004232847</c:v>
                </c:pt>
                <c:pt idx="70">
                  <c:v>152.45078425479042</c:v>
                </c:pt>
                <c:pt idx="71">
                  <c:v>153.7133645899342</c:v>
                </c:pt>
                <c:pt idx="72">
                  <c:v>153.16008829447316</c:v>
                </c:pt>
                <c:pt idx="73">
                  <c:v>153.17119210939939</c:v>
                </c:pt>
                <c:pt idx="74">
                  <c:v>155.03586723666248</c:v>
                </c:pt>
                <c:pt idx="75">
                  <c:v>155.13963047269706</c:v>
                </c:pt>
                <c:pt idx="76">
                  <c:v>155.67022052559332</c:v>
                </c:pt>
                <c:pt idx="77">
                  <c:v>154.76631255707454</c:v>
                </c:pt>
                <c:pt idx="78">
                  <c:v>154.40065244484941</c:v>
                </c:pt>
                <c:pt idx="79">
                  <c:v>156.64237866689126</c:v>
                </c:pt>
                <c:pt idx="80">
                  <c:v>158.83729656566661</c:v>
                </c:pt>
                <c:pt idx="81">
                  <c:v>159.47930765799481</c:v>
                </c:pt>
                <c:pt idx="82">
                  <c:v>160.93189723993618</c:v>
                </c:pt>
                <c:pt idx="83">
                  <c:v>163.33989351824374</c:v>
                </c:pt>
                <c:pt idx="84">
                  <c:v>163.82664264669</c:v>
                </c:pt>
                <c:pt idx="85">
                  <c:v>167.10734134467197</c:v>
                </c:pt>
                <c:pt idx="86">
                  <c:v>168.62109763124994</c:v>
                </c:pt>
                <c:pt idx="87">
                  <c:v>169.37826294216632</c:v>
                </c:pt>
                <c:pt idx="88">
                  <c:v>168.30205439720638</c:v>
                </c:pt>
                <c:pt idx="89">
                  <c:v>167.13079336757642</c:v>
                </c:pt>
                <c:pt idx="90">
                  <c:v>167.613713594324</c:v>
                </c:pt>
                <c:pt idx="91">
                  <c:v>170.38583842417714</c:v>
                </c:pt>
                <c:pt idx="92">
                  <c:v>173.12388602891198</c:v>
                </c:pt>
                <c:pt idx="93">
                  <c:v>174.20210474726375</c:v>
                </c:pt>
                <c:pt idx="94">
                  <c:v>175.76649825880693</c:v>
                </c:pt>
                <c:pt idx="95">
                  <c:v>181.42733797523849</c:v>
                </c:pt>
                <c:pt idx="96">
                  <c:v>185.76423920680472</c:v>
                </c:pt>
                <c:pt idx="97">
                  <c:v>183.4138678990625</c:v>
                </c:pt>
                <c:pt idx="98">
                  <c:v>184.25909794904879</c:v>
                </c:pt>
                <c:pt idx="99">
                  <c:v>186.36135642671579</c:v>
                </c:pt>
                <c:pt idx="100">
                  <c:v>186.22571758403961</c:v>
                </c:pt>
                <c:pt idx="101">
                  <c:v>185.14079828771514</c:v>
                </c:pt>
                <c:pt idx="102">
                  <c:v>186.90458185521771</c:v>
                </c:pt>
                <c:pt idx="103">
                  <c:v>188.54708496141424</c:v>
                </c:pt>
                <c:pt idx="104">
                  <c:v>190.5659691045922</c:v>
                </c:pt>
                <c:pt idx="105">
                  <c:v>191.9700273575026</c:v>
                </c:pt>
                <c:pt idx="106">
                  <c:v>192.22503221063553</c:v>
                </c:pt>
                <c:pt idx="107">
                  <c:v>194.52821230494138</c:v>
                </c:pt>
                <c:pt idx="108">
                  <c:v>193.11831497694041</c:v>
                </c:pt>
                <c:pt idx="109">
                  <c:v>195.01764166457673</c:v>
                </c:pt>
                <c:pt idx="110">
                  <c:v>196.62147286361645</c:v>
                </c:pt>
                <c:pt idx="111">
                  <c:v>197.38256279877399</c:v>
                </c:pt>
                <c:pt idx="112">
                  <c:v>198.80241527119156</c:v>
                </c:pt>
                <c:pt idx="113">
                  <c:v>202.08234818883378</c:v>
                </c:pt>
                <c:pt idx="114">
                  <c:v>204.37088273414213</c:v>
                </c:pt>
                <c:pt idx="115">
                  <c:v>206.27863300551556</c:v>
                </c:pt>
                <c:pt idx="116">
                  <c:v>211.11386579316658</c:v>
                </c:pt>
                <c:pt idx="117">
                  <c:v>211.29985469318055</c:v>
                </c:pt>
                <c:pt idx="118">
                  <c:v>211.19101816239524</c:v>
                </c:pt>
                <c:pt idx="119">
                  <c:v>209.15337240089369</c:v>
                </c:pt>
                <c:pt idx="120">
                  <c:v>209.16189170717331</c:v>
                </c:pt>
                <c:pt idx="121">
                  <c:v>208.95388662239188</c:v>
                </c:pt>
                <c:pt idx="122">
                  <c:v>209.63782418832074</c:v>
                </c:pt>
                <c:pt idx="123">
                  <c:v>210.24757678383745</c:v>
                </c:pt>
                <c:pt idx="124">
                  <c:v>212.51955132929893</c:v>
                </c:pt>
                <c:pt idx="125">
                  <c:v>215.41850852792132</c:v>
                </c:pt>
                <c:pt idx="126">
                  <c:v>216.04357673023281</c:v>
                </c:pt>
                <c:pt idx="127">
                  <c:v>218.80182179142821</c:v>
                </c:pt>
                <c:pt idx="128">
                  <c:v>223.87033041507209</c:v>
                </c:pt>
                <c:pt idx="129">
                  <c:v>227.28839096149466</c:v>
                </c:pt>
                <c:pt idx="130">
                  <c:v>226.77014911657668</c:v>
                </c:pt>
                <c:pt idx="131">
                  <c:v>227.09962610774917</c:v>
                </c:pt>
                <c:pt idx="132">
                  <c:v>231.68291716362623</c:v>
                </c:pt>
                <c:pt idx="133">
                  <c:v>234.16701286319528</c:v>
                </c:pt>
                <c:pt idx="134">
                  <c:v>235.29472013600264</c:v>
                </c:pt>
                <c:pt idx="135">
                  <c:v>235.36115158047497</c:v>
                </c:pt>
                <c:pt idx="136">
                  <c:v>237.58756219572203</c:v>
                </c:pt>
                <c:pt idx="137">
                  <c:v>241.95030851375441</c:v>
                </c:pt>
                <c:pt idx="138">
                  <c:v>241.82175313922082</c:v>
                </c:pt>
                <c:pt idx="139">
                  <c:v>245.09776143262192</c:v>
                </c:pt>
                <c:pt idx="140">
                  <c:v>246.03603379388642</c:v>
                </c:pt>
                <c:pt idx="141">
                  <c:v>247.45780071715333</c:v>
                </c:pt>
                <c:pt idx="142">
                  <c:v>248.39817897435219</c:v>
                </c:pt>
                <c:pt idx="143">
                  <c:v>250.69954034035118</c:v>
                </c:pt>
                <c:pt idx="144">
                  <c:v>251.24736045089156</c:v>
                </c:pt>
                <c:pt idx="145">
                  <c:v>250.67647120761654</c:v>
                </c:pt>
                <c:pt idx="146">
                  <c:v>252.65783211414731</c:v>
                </c:pt>
                <c:pt idx="147">
                  <c:v>255.07138029991793</c:v>
                </c:pt>
                <c:pt idx="148">
                  <c:v>258.26305703340535</c:v>
                </c:pt>
                <c:pt idx="149">
                  <c:v>254.71366515871762</c:v>
                </c:pt>
                <c:pt idx="150">
                  <c:v>252.47375766498268</c:v>
                </c:pt>
                <c:pt idx="151">
                  <c:v>253.86125591804628</c:v>
                </c:pt>
                <c:pt idx="152">
                  <c:v>253.66885360768697</c:v>
                </c:pt>
                <c:pt idx="153">
                  <c:v>255.87133358731725</c:v>
                </c:pt>
                <c:pt idx="154">
                  <c:v>258.46244708936473</c:v>
                </c:pt>
                <c:pt idx="155">
                  <c:v>258.73822373421308</c:v>
                </c:pt>
                <c:pt idx="156">
                  <c:v>257.52427045064269</c:v>
                </c:pt>
                <c:pt idx="157">
                  <c:v>261.83657098879485</c:v>
                </c:pt>
                <c:pt idx="158">
                  <c:v>263.36114392267166</c:v>
                </c:pt>
                <c:pt idx="159">
                  <c:v>264.29501304698266</c:v>
                </c:pt>
                <c:pt idx="160">
                  <c:v>266.34079522459393</c:v>
                </c:pt>
                <c:pt idx="161">
                  <c:v>269.03557624013354</c:v>
                </c:pt>
                <c:pt idx="162">
                  <c:v>270.60676605219186</c:v>
                </c:pt>
                <c:pt idx="163">
                  <c:v>272.32881459117874</c:v>
                </c:pt>
                <c:pt idx="164">
                  <c:v>276.35739351345779</c:v>
                </c:pt>
                <c:pt idx="165">
                  <c:v>276.44038495777693</c:v>
                </c:pt>
                <c:pt idx="166">
                  <c:v>278.96008944314383</c:v>
                </c:pt>
                <c:pt idx="167">
                  <c:v>282.81062443643367</c:v>
                </c:pt>
                <c:pt idx="168">
                  <c:v>285.79190302157787</c:v>
                </c:pt>
                <c:pt idx="169">
                  <c:v>292.4022146367426</c:v>
                </c:pt>
                <c:pt idx="170">
                  <c:v>290.54261280423026</c:v>
                </c:pt>
                <c:pt idx="171">
                  <c:v>293.3675764775254</c:v>
                </c:pt>
                <c:pt idx="172">
                  <c:v>291.87239036418612</c:v>
                </c:pt>
                <c:pt idx="173">
                  <c:v>290.6997892189616</c:v>
                </c:pt>
                <c:pt idx="174">
                  <c:v>287.67428681919745</c:v>
                </c:pt>
                <c:pt idx="175">
                  <c:v>291.73435845794825</c:v>
                </c:pt>
                <c:pt idx="176">
                  <c:v>291.6569189210922</c:v>
                </c:pt>
                <c:pt idx="177">
                  <c:v>294.66595704355194</c:v>
                </c:pt>
                <c:pt idx="178">
                  <c:v>295.91992234987367</c:v>
                </c:pt>
                <c:pt idx="179">
                  <c:v>296.51885829809163</c:v>
                </c:pt>
                <c:pt idx="180">
                  <c:v>296.55561575439907</c:v>
                </c:pt>
                <c:pt idx="181">
                  <c:v>302.93016274746685</c:v>
                </c:pt>
                <c:pt idx="182">
                  <c:v>307.18617843064817</c:v>
                </c:pt>
                <c:pt idx="183">
                  <c:v>309.19453309415474</c:v>
                </c:pt>
                <c:pt idx="184">
                  <c:v>309.337351127516</c:v>
                </c:pt>
                <c:pt idx="185">
                  <c:v>311.54413862155729</c:v>
                </c:pt>
                <c:pt idx="186">
                  <c:v>318.84690710893051</c:v>
                </c:pt>
                <c:pt idx="187">
                  <c:v>320.13265229935138</c:v>
                </c:pt>
                <c:pt idx="188">
                  <c:v>319.4201894157672</c:v>
                </c:pt>
                <c:pt idx="189">
                  <c:v>319.57698294032861</c:v>
                </c:pt>
                <c:pt idx="190">
                  <c:v>315.8614167319177</c:v>
                </c:pt>
                <c:pt idx="191">
                  <c:v>311.05021030242597</c:v>
                </c:pt>
                <c:pt idx="192">
                  <c:v>311.92741168159637</c:v>
                </c:pt>
                <c:pt idx="193">
                  <c:v>310.14065470390165</c:v>
                </c:pt>
                <c:pt idx="194">
                  <c:v>312.93096681682363</c:v>
                </c:pt>
                <c:pt idx="195">
                  <c:v>312.92292612325639</c:v>
                </c:pt>
                <c:pt idx="196">
                  <c:v>315.0464350053511</c:v>
                </c:pt>
                <c:pt idx="197">
                  <c:v>316.63868377675232</c:v>
                </c:pt>
                <c:pt idx="198">
                  <c:v>315.75066575028308</c:v>
                </c:pt>
                <c:pt idx="199">
                  <c:v>316.55492655209338</c:v>
                </c:pt>
                <c:pt idx="200">
                  <c:v>319.76335473051262</c:v>
                </c:pt>
                <c:pt idx="201">
                  <c:v>317.93122526768838</c:v>
                </c:pt>
                <c:pt idx="202">
                  <c:v>319.29115542852139</c:v>
                </c:pt>
                <c:pt idx="203">
                  <c:v>320.2877228181485</c:v>
                </c:pt>
                <c:pt idx="204">
                  <c:v>320.67195310361228</c:v>
                </c:pt>
                <c:pt idx="205">
                  <c:v>318.68714618555265</c:v>
                </c:pt>
                <c:pt idx="206">
                  <c:v>319.02054780096631</c:v>
                </c:pt>
                <c:pt idx="207">
                  <c:v>322.64891077318953</c:v>
                </c:pt>
                <c:pt idx="208">
                  <c:v>321.58313598535852</c:v>
                </c:pt>
                <c:pt idx="209">
                  <c:v>322.44396880976706</c:v>
                </c:pt>
                <c:pt idx="210">
                  <c:v>323.51519978251861</c:v>
                </c:pt>
                <c:pt idx="211">
                  <c:v>322.96355077027954</c:v>
                </c:pt>
                <c:pt idx="212">
                  <c:v>323.29628232789588</c:v>
                </c:pt>
                <c:pt idx="213">
                  <c:v>322.08558361076933</c:v>
                </c:pt>
                <c:pt idx="214">
                  <c:v>322.31225459133191</c:v>
                </c:pt>
                <c:pt idx="215">
                  <c:v>324.33755214485512</c:v>
                </c:pt>
                <c:pt idx="216">
                  <c:v>329.43075718445556</c:v>
                </c:pt>
                <c:pt idx="217">
                  <c:v>331.86622583245122</c:v>
                </c:pt>
                <c:pt idx="218">
                  <c:v>331.69067068956616</c:v>
                </c:pt>
                <c:pt idx="219">
                  <c:v>337.36606023245275</c:v>
                </c:pt>
                <c:pt idx="220">
                  <c:v>336.61396821628711</c:v>
                </c:pt>
                <c:pt idx="221">
                  <c:v>341.93958758899811</c:v>
                </c:pt>
                <c:pt idx="222">
                  <c:v>346.15109228993214</c:v>
                </c:pt>
                <c:pt idx="223">
                  <c:v>348.67855030123889</c:v>
                </c:pt>
                <c:pt idx="224">
                  <c:v>357.66996016027787</c:v>
                </c:pt>
                <c:pt idx="225">
                  <c:v>355.37644804276124</c:v>
                </c:pt>
                <c:pt idx="226">
                  <c:v>353.38972667385229</c:v>
                </c:pt>
                <c:pt idx="227">
                  <c:v>351.92622472206966</c:v>
                </c:pt>
                <c:pt idx="228">
                  <c:v>350.05341317869681</c:v>
                </c:pt>
                <c:pt idx="229">
                  <c:v>356.98267230536266</c:v>
                </c:pt>
                <c:pt idx="230">
                  <c:v>362.2483693664891</c:v>
                </c:pt>
                <c:pt idx="231">
                  <c:v>361.65469815810695</c:v>
                </c:pt>
                <c:pt idx="232">
                  <c:v>364.49784911447085</c:v>
                </c:pt>
                <c:pt idx="233">
                  <c:v>364.16301166092018</c:v>
                </c:pt>
                <c:pt idx="234">
                  <c:v>364.53537235111799</c:v>
                </c:pt>
                <c:pt idx="235">
                  <c:v>367.28088631416523</c:v>
                </c:pt>
                <c:pt idx="236">
                  <c:v>363.86052842672348</c:v>
                </c:pt>
                <c:pt idx="237">
                  <c:v>366.20209326055868</c:v>
                </c:pt>
                <c:pt idx="238">
                  <c:v>365.97283777134953</c:v>
                </c:pt>
                <c:pt idx="239">
                  <c:v>366.38434898141645</c:v>
                </c:pt>
                <c:pt idx="240">
                  <c:v>367.04062273257233</c:v>
                </c:pt>
                <c:pt idx="241">
                  <c:v>364.64602761021018</c:v>
                </c:pt>
                <c:pt idx="242">
                  <c:v>357.86657426250571</c:v>
                </c:pt>
                <c:pt idx="243">
                  <c:v>357.11189773769348</c:v>
                </c:pt>
                <c:pt idx="244">
                  <c:v>357.2629479097069</c:v>
                </c:pt>
                <c:pt idx="245">
                  <c:v>357.85594906029189</c:v>
                </c:pt>
                <c:pt idx="246">
                  <c:v>359.28575667712602</c:v>
                </c:pt>
                <c:pt idx="247">
                  <c:v>364.45821998188933</c:v>
                </c:pt>
                <c:pt idx="248">
                  <c:v>363.47467085803783</c:v>
                </c:pt>
                <c:pt idx="249">
                  <c:v>359.40033656045944</c:v>
                </c:pt>
                <c:pt idx="250">
                  <c:v>358.39764292811435</c:v>
                </c:pt>
                <c:pt idx="251">
                  <c:v>362.4682440465366</c:v>
                </c:pt>
                <c:pt idx="252">
                  <c:v>359.8124221057812</c:v>
                </c:pt>
                <c:pt idx="253">
                  <c:v>354.74439209484967</c:v>
                </c:pt>
                <c:pt idx="254">
                  <c:v>351.19844623169081</c:v>
                </c:pt>
                <c:pt idx="255">
                  <c:v>343.90170826449298</c:v>
                </c:pt>
                <c:pt idx="256">
                  <c:v>335.70852868708886</c:v>
                </c:pt>
                <c:pt idx="257">
                  <c:v>333.74190905209809</c:v>
                </c:pt>
                <c:pt idx="258">
                  <c:v>329.64862169111115</c:v>
                </c:pt>
                <c:pt idx="259">
                  <c:v>336.72845237707804</c:v>
                </c:pt>
                <c:pt idx="260">
                  <c:v>328.01951974086006</c:v>
                </c:pt>
                <c:pt idx="261">
                  <c:v>318.32139035078501</c:v>
                </c:pt>
                <c:pt idx="262">
                  <c:v>317.80027682959297</c:v>
                </c:pt>
                <c:pt idx="263">
                  <c:v>323.16294082623881</c:v>
                </c:pt>
                <c:pt idx="264">
                  <c:v>317.53694411526544</c:v>
                </c:pt>
                <c:pt idx="265">
                  <c:v>322.9314837185529</c:v>
                </c:pt>
                <c:pt idx="266">
                  <c:v>318.36245532150343</c:v>
                </c:pt>
                <c:pt idx="267">
                  <c:v>325.89218195706667</c:v>
                </c:pt>
                <c:pt idx="268">
                  <c:v>326.74794148672441</c:v>
                </c:pt>
                <c:pt idx="269">
                  <c:v>325.31152901446006</c:v>
                </c:pt>
                <c:pt idx="270">
                  <c:v>324.7550938750976</c:v>
                </c:pt>
                <c:pt idx="271">
                  <c:v>323.71123954949161</c:v>
                </c:pt>
                <c:pt idx="272">
                  <c:v>323.09325481532267</c:v>
                </c:pt>
                <c:pt idx="273">
                  <c:v>317.64769509690007</c:v>
                </c:pt>
                <c:pt idx="274">
                  <c:v>315.48465280476637</c:v>
                </c:pt>
                <c:pt idx="275">
                  <c:v>324.32472532416455</c:v>
                </c:pt>
                <c:pt idx="276">
                  <c:v>333.29335321809634</c:v>
                </c:pt>
                <c:pt idx="277">
                  <c:v>332.0169888368373</c:v>
                </c:pt>
                <c:pt idx="278">
                  <c:v>329.99666885552239</c:v>
                </c:pt>
                <c:pt idx="279">
                  <c:v>332.16325288172737</c:v>
                </c:pt>
                <c:pt idx="280">
                  <c:v>326.97566541525418</c:v>
                </c:pt>
                <c:pt idx="281">
                  <c:v>328.24829661735703</c:v>
                </c:pt>
                <c:pt idx="282">
                  <c:v>330.80255694055461</c:v>
                </c:pt>
                <c:pt idx="283">
                  <c:v>336.59166486389239</c:v>
                </c:pt>
                <c:pt idx="284">
                  <c:v>339.71959038409653</c:v>
                </c:pt>
                <c:pt idx="285">
                  <c:v>343.04661879263261</c:v>
                </c:pt>
                <c:pt idx="286">
                  <c:v>338.3774646161624</c:v>
                </c:pt>
                <c:pt idx="287">
                  <c:v>342.07857672066081</c:v>
                </c:pt>
                <c:pt idx="288">
                  <c:v>339.45424749637715</c:v>
                </c:pt>
                <c:pt idx="289">
                  <c:v>340.39567870154315</c:v>
                </c:pt>
                <c:pt idx="290">
                  <c:v>343.69542618547615</c:v>
                </c:pt>
                <c:pt idx="291">
                  <c:v>341.88990758945783</c:v>
                </c:pt>
                <c:pt idx="292">
                  <c:v>346.11232466023318</c:v>
                </c:pt>
                <c:pt idx="293">
                  <c:v>344.15881901356033</c:v>
                </c:pt>
                <c:pt idx="294">
                  <c:v>346.70216696691671</c:v>
                </c:pt>
                <c:pt idx="295">
                  <c:v>345.67113946200135</c:v>
                </c:pt>
                <c:pt idx="296">
                  <c:v>346.57619610102978</c:v>
                </c:pt>
              </c:numCache>
            </c:numRef>
          </c:val>
          <c:smooth val="0"/>
          <c:extLst>
            <c:ext xmlns:c16="http://schemas.microsoft.com/office/drawing/2014/chart" uri="{C3380CC4-5D6E-409C-BE32-E72D297353CC}">
              <c16:uniqueId val="{00000002-048F-4678-AC7E-05D11115C593}"/>
            </c:ext>
          </c:extLst>
        </c:ser>
        <c:ser>
          <c:idx val="8"/>
          <c:order val="8"/>
          <c:tx>
            <c:strRef>
              <c:f>'Monthly Raw Data'!$AI$4</c:f>
              <c:strCache>
                <c:ptCount val="1"/>
                <c:pt idx="0">
                  <c:v>Cash [D]</c:v>
                </c:pt>
              </c:strCache>
            </c:strRef>
          </c:tx>
          <c:spPr>
            <a:ln w="19050" cap="rnd">
              <a:solidFill>
                <a:schemeClr val="accent3">
                  <a:lumMod val="60000"/>
                </a:schemeClr>
              </a:solidFill>
              <a:round/>
            </a:ln>
            <a:effectLst/>
          </c:spPr>
          <c:marker>
            <c:symbol val="none"/>
          </c:marker>
          <c:cat>
            <c:numRef>
              <c:f>'Monthly Raw Data'!$Z$5:$Z$301</c:f>
              <c:numCache>
                <c:formatCode>m/d/yy</c:formatCode>
                <c:ptCount val="297"/>
                <c:pt idx="0">
                  <c:v>36889</c:v>
                </c:pt>
                <c:pt idx="1">
                  <c:v>36922</c:v>
                </c:pt>
                <c:pt idx="2">
                  <c:v>36950</c:v>
                </c:pt>
                <c:pt idx="3">
                  <c:v>36980</c:v>
                </c:pt>
                <c:pt idx="4">
                  <c:v>37011</c:v>
                </c:pt>
                <c:pt idx="5">
                  <c:v>37042</c:v>
                </c:pt>
                <c:pt idx="6">
                  <c:v>37071</c:v>
                </c:pt>
                <c:pt idx="7">
                  <c:v>37103</c:v>
                </c:pt>
                <c:pt idx="8">
                  <c:v>37134</c:v>
                </c:pt>
                <c:pt idx="9">
                  <c:v>37162</c:v>
                </c:pt>
                <c:pt idx="10">
                  <c:v>37195</c:v>
                </c:pt>
                <c:pt idx="11">
                  <c:v>37225</c:v>
                </c:pt>
                <c:pt idx="12">
                  <c:v>37256</c:v>
                </c:pt>
                <c:pt idx="13">
                  <c:v>37287</c:v>
                </c:pt>
                <c:pt idx="14">
                  <c:v>37315</c:v>
                </c:pt>
                <c:pt idx="15">
                  <c:v>37344</c:v>
                </c:pt>
                <c:pt idx="16">
                  <c:v>37376</c:v>
                </c:pt>
                <c:pt idx="17">
                  <c:v>37407</c:v>
                </c:pt>
                <c:pt idx="18">
                  <c:v>37435</c:v>
                </c:pt>
                <c:pt idx="19">
                  <c:v>37468</c:v>
                </c:pt>
                <c:pt idx="20">
                  <c:v>37498</c:v>
                </c:pt>
                <c:pt idx="21">
                  <c:v>37529</c:v>
                </c:pt>
                <c:pt idx="22">
                  <c:v>37560</c:v>
                </c:pt>
                <c:pt idx="23">
                  <c:v>37589</c:v>
                </c:pt>
                <c:pt idx="24">
                  <c:v>37621</c:v>
                </c:pt>
                <c:pt idx="25">
                  <c:v>37652</c:v>
                </c:pt>
                <c:pt idx="26">
                  <c:v>37680</c:v>
                </c:pt>
                <c:pt idx="27">
                  <c:v>37711</c:v>
                </c:pt>
                <c:pt idx="28">
                  <c:v>37741</c:v>
                </c:pt>
                <c:pt idx="29">
                  <c:v>37771</c:v>
                </c:pt>
                <c:pt idx="30">
                  <c:v>37802</c:v>
                </c:pt>
                <c:pt idx="31">
                  <c:v>37833</c:v>
                </c:pt>
                <c:pt idx="32">
                  <c:v>37862</c:v>
                </c:pt>
                <c:pt idx="33">
                  <c:v>37894</c:v>
                </c:pt>
                <c:pt idx="34">
                  <c:v>37925</c:v>
                </c:pt>
                <c:pt idx="35">
                  <c:v>37953</c:v>
                </c:pt>
                <c:pt idx="36">
                  <c:v>37986</c:v>
                </c:pt>
                <c:pt idx="37">
                  <c:v>38016</c:v>
                </c:pt>
                <c:pt idx="38">
                  <c:v>38044</c:v>
                </c:pt>
                <c:pt idx="39">
                  <c:v>38077</c:v>
                </c:pt>
                <c:pt idx="40">
                  <c:v>38107</c:v>
                </c:pt>
                <c:pt idx="41">
                  <c:v>38138</c:v>
                </c:pt>
                <c:pt idx="42">
                  <c:v>38168</c:v>
                </c:pt>
                <c:pt idx="43">
                  <c:v>38198</c:v>
                </c:pt>
                <c:pt idx="44">
                  <c:v>38230</c:v>
                </c:pt>
                <c:pt idx="45">
                  <c:v>38260</c:v>
                </c:pt>
                <c:pt idx="46">
                  <c:v>38289</c:v>
                </c:pt>
                <c:pt idx="47">
                  <c:v>38321</c:v>
                </c:pt>
                <c:pt idx="48">
                  <c:v>38352</c:v>
                </c:pt>
                <c:pt idx="49">
                  <c:v>38383</c:v>
                </c:pt>
                <c:pt idx="50">
                  <c:v>38411</c:v>
                </c:pt>
                <c:pt idx="51">
                  <c:v>38442</c:v>
                </c:pt>
                <c:pt idx="52">
                  <c:v>38471</c:v>
                </c:pt>
                <c:pt idx="53">
                  <c:v>38503</c:v>
                </c:pt>
                <c:pt idx="54">
                  <c:v>38533</c:v>
                </c:pt>
                <c:pt idx="55">
                  <c:v>38562</c:v>
                </c:pt>
                <c:pt idx="56">
                  <c:v>38595</c:v>
                </c:pt>
                <c:pt idx="57">
                  <c:v>38625</c:v>
                </c:pt>
                <c:pt idx="58">
                  <c:v>38656</c:v>
                </c:pt>
                <c:pt idx="59">
                  <c:v>38686</c:v>
                </c:pt>
                <c:pt idx="60">
                  <c:v>38716</c:v>
                </c:pt>
                <c:pt idx="61">
                  <c:v>38748</c:v>
                </c:pt>
                <c:pt idx="62">
                  <c:v>38776</c:v>
                </c:pt>
                <c:pt idx="63">
                  <c:v>38807</c:v>
                </c:pt>
                <c:pt idx="64">
                  <c:v>38835</c:v>
                </c:pt>
                <c:pt idx="65">
                  <c:v>38868</c:v>
                </c:pt>
                <c:pt idx="66">
                  <c:v>38898</c:v>
                </c:pt>
                <c:pt idx="67">
                  <c:v>38929</c:v>
                </c:pt>
                <c:pt idx="68">
                  <c:v>38960</c:v>
                </c:pt>
                <c:pt idx="69">
                  <c:v>38989</c:v>
                </c:pt>
                <c:pt idx="70">
                  <c:v>39021</c:v>
                </c:pt>
                <c:pt idx="71">
                  <c:v>39051</c:v>
                </c:pt>
                <c:pt idx="72">
                  <c:v>39080</c:v>
                </c:pt>
                <c:pt idx="73">
                  <c:v>39113</c:v>
                </c:pt>
                <c:pt idx="74">
                  <c:v>39141</c:v>
                </c:pt>
                <c:pt idx="75">
                  <c:v>39171</c:v>
                </c:pt>
                <c:pt idx="76">
                  <c:v>39202</c:v>
                </c:pt>
                <c:pt idx="77">
                  <c:v>39233</c:v>
                </c:pt>
                <c:pt idx="78">
                  <c:v>39262</c:v>
                </c:pt>
                <c:pt idx="79">
                  <c:v>39294</c:v>
                </c:pt>
                <c:pt idx="80">
                  <c:v>39325</c:v>
                </c:pt>
                <c:pt idx="81">
                  <c:v>39353</c:v>
                </c:pt>
                <c:pt idx="82">
                  <c:v>39386</c:v>
                </c:pt>
                <c:pt idx="83">
                  <c:v>39416</c:v>
                </c:pt>
                <c:pt idx="84">
                  <c:v>39447</c:v>
                </c:pt>
                <c:pt idx="85">
                  <c:v>39478</c:v>
                </c:pt>
                <c:pt idx="86">
                  <c:v>39507</c:v>
                </c:pt>
                <c:pt idx="87">
                  <c:v>39538</c:v>
                </c:pt>
                <c:pt idx="88">
                  <c:v>39568</c:v>
                </c:pt>
                <c:pt idx="89">
                  <c:v>39598</c:v>
                </c:pt>
                <c:pt idx="90">
                  <c:v>39629</c:v>
                </c:pt>
                <c:pt idx="91">
                  <c:v>39660</c:v>
                </c:pt>
                <c:pt idx="92">
                  <c:v>39689</c:v>
                </c:pt>
                <c:pt idx="93">
                  <c:v>39721</c:v>
                </c:pt>
                <c:pt idx="94">
                  <c:v>39752</c:v>
                </c:pt>
                <c:pt idx="95">
                  <c:v>39780</c:v>
                </c:pt>
                <c:pt idx="96">
                  <c:v>39813</c:v>
                </c:pt>
                <c:pt idx="97">
                  <c:v>39843</c:v>
                </c:pt>
                <c:pt idx="98">
                  <c:v>39871</c:v>
                </c:pt>
                <c:pt idx="99">
                  <c:v>39903</c:v>
                </c:pt>
                <c:pt idx="100">
                  <c:v>39933</c:v>
                </c:pt>
                <c:pt idx="101">
                  <c:v>39962</c:v>
                </c:pt>
                <c:pt idx="102">
                  <c:v>39994</c:v>
                </c:pt>
                <c:pt idx="103">
                  <c:v>40025</c:v>
                </c:pt>
                <c:pt idx="104">
                  <c:v>40056</c:v>
                </c:pt>
                <c:pt idx="105">
                  <c:v>40086</c:v>
                </c:pt>
                <c:pt idx="106">
                  <c:v>40116</c:v>
                </c:pt>
                <c:pt idx="107">
                  <c:v>40147</c:v>
                </c:pt>
                <c:pt idx="108">
                  <c:v>40178</c:v>
                </c:pt>
                <c:pt idx="109">
                  <c:v>40207</c:v>
                </c:pt>
                <c:pt idx="110">
                  <c:v>40235</c:v>
                </c:pt>
                <c:pt idx="111">
                  <c:v>40268</c:v>
                </c:pt>
                <c:pt idx="112">
                  <c:v>40298</c:v>
                </c:pt>
                <c:pt idx="113">
                  <c:v>40329</c:v>
                </c:pt>
                <c:pt idx="114">
                  <c:v>40359</c:v>
                </c:pt>
                <c:pt idx="115">
                  <c:v>40389</c:v>
                </c:pt>
                <c:pt idx="116">
                  <c:v>40421</c:v>
                </c:pt>
                <c:pt idx="117">
                  <c:v>40451</c:v>
                </c:pt>
                <c:pt idx="118">
                  <c:v>40480</c:v>
                </c:pt>
                <c:pt idx="119">
                  <c:v>40512</c:v>
                </c:pt>
                <c:pt idx="120">
                  <c:v>40543</c:v>
                </c:pt>
                <c:pt idx="121">
                  <c:v>40574</c:v>
                </c:pt>
                <c:pt idx="122">
                  <c:v>40602</c:v>
                </c:pt>
                <c:pt idx="123">
                  <c:v>40633</c:v>
                </c:pt>
                <c:pt idx="124">
                  <c:v>40662</c:v>
                </c:pt>
                <c:pt idx="125">
                  <c:v>40694</c:v>
                </c:pt>
                <c:pt idx="126">
                  <c:v>40724</c:v>
                </c:pt>
                <c:pt idx="127">
                  <c:v>40753</c:v>
                </c:pt>
                <c:pt idx="128">
                  <c:v>40786</c:v>
                </c:pt>
                <c:pt idx="129">
                  <c:v>40816</c:v>
                </c:pt>
                <c:pt idx="130">
                  <c:v>40847</c:v>
                </c:pt>
                <c:pt idx="131">
                  <c:v>40877</c:v>
                </c:pt>
                <c:pt idx="132">
                  <c:v>40907</c:v>
                </c:pt>
                <c:pt idx="133">
                  <c:v>40939</c:v>
                </c:pt>
                <c:pt idx="134">
                  <c:v>40968</c:v>
                </c:pt>
                <c:pt idx="135">
                  <c:v>40998</c:v>
                </c:pt>
                <c:pt idx="136">
                  <c:v>41029</c:v>
                </c:pt>
                <c:pt idx="137">
                  <c:v>41060</c:v>
                </c:pt>
                <c:pt idx="138">
                  <c:v>41089</c:v>
                </c:pt>
                <c:pt idx="139">
                  <c:v>41121</c:v>
                </c:pt>
                <c:pt idx="140">
                  <c:v>41152</c:v>
                </c:pt>
                <c:pt idx="141">
                  <c:v>41180</c:v>
                </c:pt>
                <c:pt idx="142">
                  <c:v>41213</c:v>
                </c:pt>
                <c:pt idx="143">
                  <c:v>41243</c:v>
                </c:pt>
                <c:pt idx="144">
                  <c:v>41274</c:v>
                </c:pt>
                <c:pt idx="145">
                  <c:v>41305</c:v>
                </c:pt>
                <c:pt idx="146">
                  <c:v>41333</c:v>
                </c:pt>
                <c:pt idx="147">
                  <c:v>41362</c:v>
                </c:pt>
                <c:pt idx="148">
                  <c:v>41394</c:v>
                </c:pt>
                <c:pt idx="149">
                  <c:v>41425</c:v>
                </c:pt>
                <c:pt idx="150">
                  <c:v>41453</c:v>
                </c:pt>
                <c:pt idx="151">
                  <c:v>41486</c:v>
                </c:pt>
                <c:pt idx="152">
                  <c:v>41516</c:v>
                </c:pt>
                <c:pt idx="153">
                  <c:v>41547</c:v>
                </c:pt>
                <c:pt idx="154">
                  <c:v>41578</c:v>
                </c:pt>
                <c:pt idx="155">
                  <c:v>41607</c:v>
                </c:pt>
                <c:pt idx="156">
                  <c:v>41639</c:v>
                </c:pt>
                <c:pt idx="157">
                  <c:v>41670</c:v>
                </c:pt>
                <c:pt idx="158">
                  <c:v>41698</c:v>
                </c:pt>
                <c:pt idx="159">
                  <c:v>41729</c:v>
                </c:pt>
                <c:pt idx="160">
                  <c:v>41759</c:v>
                </c:pt>
                <c:pt idx="161">
                  <c:v>41789</c:v>
                </c:pt>
                <c:pt idx="162">
                  <c:v>41820</c:v>
                </c:pt>
                <c:pt idx="163">
                  <c:v>41851</c:v>
                </c:pt>
                <c:pt idx="164">
                  <c:v>41880</c:v>
                </c:pt>
                <c:pt idx="165">
                  <c:v>41912</c:v>
                </c:pt>
                <c:pt idx="166">
                  <c:v>41943</c:v>
                </c:pt>
                <c:pt idx="167">
                  <c:v>41971</c:v>
                </c:pt>
                <c:pt idx="168">
                  <c:v>42004</c:v>
                </c:pt>
                <c:pt idx="169">
                  <c:v>42034</c:v>
                </c:pt>
                <c:pt idx="170">
                  <c:v>42062</c:v>
                </c:pt>
                <c:pt idx="171">
                  <c:v>42094</c:v>
                </c:pt>
                <c:pt idx="172">
                  <c:v>42124</c:v>
                </c:pt>
                <c:pt idx="173">
                  <c:v>42153</c:v>
                </c:pt>
                <c:pt idx="174">
                  <c:v>42185</c:v>
                </c:pt>
                <c:pt idx="175">
                  <c:v>42216</c:v>
                </c:pt>
                <c:pt idx="176">
                  <c:v>42247</c:v>
                </c:pt>
                <c:pt idx="177">
                  <c:v>42277</c:v>
                </c:pt>
                <c:pt idx="178">
                  <c:v>42307</c:v>
                </c:pt>
                <c:pt idx="179">
                  <c:v>42338</c:v>
                </c:pt>
                <c:pt idx="180">
                  <c:v>42369</c:v>
                </c:pt>
                <c:pt idx="181">
                  <c:v>42398</c:v>
                </c:pt>
                <c:pt idx="182">
                  <c:v>42429</c:v>
                </c:pt>
                <c:pt idx="183">
                  <c:v>42460</c:v>
                </c:pt>
                <c:pt idx="184">
                  <c:v>42489</c:v>
                </c:pt>
                <c:pt idx="185">
                  <c:v>42521</c:v>
                </c:pt>
                <c:pt idx="186">
                  <c:v>42551</c:v>
                </c:pt>
                <c:pt idx="187">
                  <c:v>42580</c:v>
                </c:pt>
                <c:pt idx="188">
                  <c:v>42613</c:v>
                </c:pt>
                <c:pt idx="189">
                  <c:v>42643</c:v>
                </c:pt>
                <c:pt idx="190">
                  <c:v>42674</c:v>
                </c:pt>
                <c:pt idx="191">
                  <c:v>42704</c:v>
                </c:pt>
                <c:pt idx="192">
                  <c:v>42734</c:v>
                </c:pt>
                <c:pt idx="193">
                  <c:v>42766</c:v>
                </c:pt>
                <c:pt idx="194">
                  <c:v>42794</c:v>
                </c:pt>
                <c:pt idx="195">
                  <c:v>42825</c:v>
                </c:pt>
                <c:pt idx="196">
                  <c:v>42853</c:v>
                </c:pt>
                <c:pt idx="197">
                  <c:v>42886</c:v>
                </c:pt>
                <c:pt idx="198">
                  <c:v>42916</c:v>
                </c:pt>
                <c:pt idx="199">
                  <c:v>42947</c:v>
                </c:pt>
                <c:pt idx="200">
                  <c:v>42978</c:v>
                </c:pt>
                <c:pt idx="201">
                  <c:v>43007</c:v>
                </c:pt>
                <c:pt idx="202">
                  <c:v>43039</c:v>
                </c:pt>
                <c:pt idx="203">
                  <c:v>43069</c:v>
                </c:pt>
                <c:pt idx="204">
                  <c:v>43098</c:v>
                </c:pt>
                <c:pt idx="205">
                  <c:v>43131</c:v>
                </c:pt>
                <c:pt idx="206">
                  <c:v>43159</c:v>
                </c:pt>
                <c:pt idx="207">
                  <c:v>43189</c:v>
                </c:pt>
                <c:pt idx="208">
                  <c:v>43220</c:v>
                </c:pt>
                <c:pt idx="209">
                  <c:v>43251</c:v>
                </c:pt>
                <c:pt idx="210">
                  <c:v>43280</c:v>
                </c:pt>
                <c:pt idx="211">
                  <c:v>43312</c:v>
                </c:pt>
                <c:pt idx="212">
                  <c:v>43343</c:v>
                </c:pt>
                <c:pt idx="213">
                  <c:v>43371</c:v>
                </c:pt>
                <c:pt idx="214">
                  <c:v>43404</c:v>
                </c:pt>
                <c:pt idx="215">
                  <c:v>43434</c:v>
                </c:pt>
                <c:pt idx="216">
                  <c:v>43465</c:v>
                </c:pt>
                <c:pt idx="217">
                  <c:v>43496</c:v>
                </c:pt>
                <c:pt idx="218">
                  <c:v>43524</c:v>
                </c:pt>
                <c:pt idx="219">
                  <c:v>43553</c:v>
                </c:pt>
                <c:pt idx="220">
                  <c:v>43585</c:v>
                </c:pt>
                <c:pt idx="221">
                  <c:v>43616</c:v>
                </c:pt>
                <c:pt idx="222">
                  <c:v>43644</c:v>
                </c:pt>
                <c:pt idx="223">
                  <c:v>43677</c:v>
                </c:pt>
                <c:pt idx="224">
                  <c:v>43707</c:v>
                </c:pt>
                <c:pt idx="225">
                  <c:v>43738</c:v>
                </c:pt>
                <c:pt idx="226">
                  <c:v>43769</c:v>
                </c:pt>
                <c:pt idx="227">
                  <c:v>43798</c:v>
                </c:pt>
                <c:pt idx="228">
                  <c:v>43830</c:v>
                </c:pt>
                <c:pt idx="229">
                  <c:v>43861</c:v>
                </c:pt>
                <c:pt idx="230">
                  <c:v>43889</c:v>
                </c:pt>
                <c:pt idx="231">
                  <c:v>43921</c:v>
                </c:pt>
                <c:pt idx="232">
                  <c:v>43951</c:v>
                </c:pt>
                <c:pt idx="233">
                  <c:v>43980</c:v>
                </c:pt>
                <c:pt idx="234">
                  <c:v>44012</c:v>
                </c:pt>
                <c:pt idx="235">
                  <c:v>44043</c:v>
                </c:pt>
                <c:pt idx="236">
                  <c:v>44074</c:v>
                </c:pt>
                <c:pt idx="237">
                  <c:v>44104</c:v>
                </c:pt>
                <c:pt idx="238">
                  <c:v>44134</c:v>
                </c:pt>
                <c:pt idx="239">
                  <c:v>44165</c:v>
                </c:pt>
                <c:pt idx="240">
                  <c:v>44196</c:v>
                </c:pt>
                <c:pt idx="241">
                  <c:v>44225</c:v>
                </c:pt>
                <c:pt idx="242">
                  <c:v>44253</c:v>
                </c:pt>
                <c:pt idx="243">
                  <c:v>44286</c:v>
                </c:pt>
                <c:pt idx="244">
                  <c:v>44316</c:v>
                </c:pt>
                <c:pt idx="245">
                  <c:v>44347</c:v>
                </c:pt>
                <c:pt idx="246">
                  <c:v>44377</c:v>
                </c:pt>
                <c:pt idx="247">
                  <c:v>44407</c:v>
                </c:pt>
                <c:pt idx="248">
                  <c:v>44439</c:v>
                </c:pt>
                <c:pt idx="249">
                  <c:v>44469</c:v>
                </c:pt>
                <c:pt idx="250">
                  <c:v>44498</c:v>
                </c:pt>
                <c:pt idx="251">
                  <c:v>44530</c:v>
                </c:pt>
                <c:pt idx="252">
                  <c:v>44561</c:v>
                </c:pt>
                <c:pt idx="253">
                  <c:v>44592</c:v>
                </c:pt>
                <c:pt idx="254">
                  <c:v>44620</c:v>
                </c:pt>
                <c:pt idx="255">
                  <c:v>44651</c:v>
                </c:pt>
                <c:pt idx="256">
                  <c:v>44680</c:v>
                </c:pt>
                <c:pt idx="257">
                  <c:v>44712</c:v>
                </c:pt>
                <c:pt idx="258">
                  <c:v>44742</c:v>
                </c:pt>
                <c:pt idx="259">
                  <c:v>44771</c:v>
                </c:pt>
                <c:pt idx="260">
                  <c:v>44804</c:v>
                </c:pt>
                <c:pt idx="261">
                  <c:v>44834</c:v>
                </c:pt>
                <c:pt idx="262">
                  <c:v>44865</c:v>
                </c:pt>
                <c:pt idx="263">
                  <c:v>44895</c:v>
                </c:pt>
                <c:pt idx="264">
                  <c:v>44925</c:v>
                </c:pt>
                <c:pt idx="265">
                  <c:v>44957</c:v>
                </c:pt>
                <c:pt idx="266">
                  <c:v>44985</c:v>
                </c:pt>
                <c:pt idx="267">
                  <c:v>45016</c:v>
                </c:pt>
                <c:pt idx="268">
                  <c:v>45044</c:v>
                </c:pt>
                <c:pt idx="269">
                  <c:v>45077</c:v>
                </c:pt>
                <c:pt idx="270">
                  <c:v>45107</c:v>
                </c:pt>
                <c:pt idx="271">
                  <c:v>45138</c:v>
                </c:pt>
                <c:pt idx="272">
                  <c:v>45169</c:v>
                </c:pt>
                <c:pt idx="273">
                  <c:v>45198</c:v>
                </c:pt>
                <c:pt idx="274">
                  <c:v>45230</c:v>
                </c:pt>
                <c:pt idx="275">
                  <c:v>45260</c:v>
                </c:pt>
                <c:pt idx="276">
                  <c:v>45289</c:v>
                </c:pt>
                <c:pt idx="277">
                  <c:v>45322</c:v>
                </c:pt>
                <c:pt idx="278">
                  <c:v>45351</c:v>
                </c:pt>
                <c:pt idx="279">
                  <c:v>45380</c:v>
                </c:pt>
                <c:pt idx="280">
                  <c:v>45412</c:v>
                </c:pt>
                <c:pt idx="281">
                  <c:v>45443</c:v>
                </c:pt>
                <c:pt idx="282">
                  <c:v>45471</c:v>
                </c:pt>
                <c:pt idx="283">
                  <c:v>45504</c:v>
                </c:pt>
                <c:pt idx="284">
                  <c:v>45534</c:v>
                </c:pt>
                <c:pt idx="285">
                  <c:v>45565</c:v>
                </c:pt>
                <c:pt idx="286">
                  <c:v>45596</c:v>
                </c:pt>
                <c:pt idx="287">
                  <c:v>45625</c:v>
                </c:pt>
                <c:pt idx="288">
                  <c:v>45657</c:v>
                </c:pt>
                <c:pt idx="289">
                  <c:v>45688</c:v>
                </c:pt>
                <c:pt idx="290">
                  <c:v>45716</c:v>
                </c:pt>
                <c:pt idx="291">
                  <c:v>45747</c:v>
                </c:pt>
                <c:pt idx="292">
                  <c:v>45777</c:v>
                </c:pt>
                <c:pt idx="293">
                  <c:v>45807</c:v>
                </c:pt>
                <c:pt idx="294">
                  <c:v>45838</c:v>
                </c:pt>
                <c:pt idx="295">
                  <c:v>45869</c:v>
                </c:pt>
                <c:pt idx="296">
                  <c:v>45898</c:v>
                </c:pt>
              </c:numCache>
            </c:numRef>
          </c:cat>
          <c:val>
            <c:numRef>
              <c:f>'Monthly Raw Data'!$AI$5:$AI$301</c:f>
              <c:numCache>
                <c:formatCode>General</c:formatCode>
                <c:ptCount val="297"/>
                <c:pt idx="0">
                  <c:v>100</c:v>
                </c:pt>
                <c:pt idx="1">
                  <c:v>100.53641737526038</c:v>
                </c:pt>
                <c:pt idx="2">
                  <c:v>101.00843114715354</c:v>
                </c:pt>
                <c:pt idx="3">
                  <c:v>101.49539167457644</c:v>
                </c:pt>
                <c:pt idx="4">
                  <c:v>101.93691644905682</c:v>
                </c:pt>
                <c:pt idx="5">
                  <c:v>102.34972955343237</c:v>
                </c:pt>
                <c:pt idx="6">
                  <c:v>102.76004512363927</c:v>
                </c:pt>
                <c:pt idx="7">
                  <c:v>103.19377955243715</c:v>
                </c:pt>
                <c:pt idx="8">
                  <c:v>103.65113710269932</c:v>
                </c:pt>
                <c:pt idx="9">
                  <c:v>104.09548454978098</c:v>
                </c:pt>
                <c:pt idx="10">
                  <c:v>104.48961865546572</c:v>
                </c:pt>
                <c:pt idx="11">
                  <c:v>104.86273050683776</c:v>
                </c:pt>
                <c:pt idx="12">
                  <c:v>105.2426322964312</c:v>
                </c:pt>
                <c:pt idx="13">
                  <c:v>105.61783772210103</c:v>
                </c:pt>
                <c:pt idx="14">
                  <c:v>105.96566423283774</c:v>
                </c:pt>
                <c:pt idx="15">
                  <c:v>106.33473744673859</c:v>
                </c:pt>
                <c:pt idx="16">
                  <c:v>106.73640308502976</c:v>
                </c:pt>
                <c:pt idx="17">
                  <c:v>107.1317743027996</c:v>
                </c:pt>
                <c:pt idx="18">
                  <c:v>107.54915592657086</c:v>
                </c:pt>
                <c:pt idx="19">
                  <c:v>108.02060304922225</c:v>
                </c:pt>
                <c:pt idx="20">
                  <c:v>108.46695203215403</c:v>
                </c:pt>
                <c:pt idx="21">
                  <c:v>108.9151386600187</c:v>
                </c:pt>
                <c:pt idx="22">
                  <c:v>109.36949811191776</c:v>
                </c:pt>
                <c:pt idx="23">
                  <c:v>109.80583316755801</c:v>
                </c:pt>
                <c:pt idx="24">
                  <c:v>110.25980812463658</c:v>
                </c:pt>
                <c:pt idx="25">
                  <c:v>110.70729641378345</c:v>
                </c:pt>
                <c:pt idx="26">
                  <c:v>111.1153831155776</c:v>
                </c:pt>
                <c:pt idx="27">
                  <c:v>111.55883805405708</c:v>
                </c:pt>
                <c:pt idx="28">
                  <c:v>111.99564195306908</c:v>
                </c:pt>
                <c:pt idx="29">
                  <c:v>112.45116257932617</c:v>
                </c:pt>
                <c:pt idx="30">
                  <c:v>112.8911734054507</c:v>
                </c:pt>
                <c:pt idx="31">
                  <c:v>113.33380936996244</c:v>
                </c:pt>
                <c:pt idx="32">
                  <c:v>113.7872308948087</c:v>
                </c:pt>
                <c:pt idx="33">
                  <c:v>114.23864535669175</c:v>
                </c:pt>
                <c:pt idx="34">
                  <c:v>114.70481600885911</c:v>
                </c:pt>
                <c:pt idx="35">
                  <c:v>115.14556674720393</c:v>
                </c:pt>
                <c:pt idx="36">
                  <c:v>115.66141268832868</c:v>
                </c:pt>
                <c:pt idx="37">
                  <c:v>116.19039922056373</c:v>
                </c:pt>
                <c:pt idx="38">
                  <c:v>116.70284214221752</c:v>
                </c:pt>
                <c:pt idx="39">
                  <c:v>117.25987757161052</c:v>
                </c:pt>
                <c:pt idx="40">
                  <c:v>117.78592440063332</c:v>
                </c:pt>
                <c:pt idx="41">
                  <c:v>118.34277959807919</c:v>
                </c:pt>
                <c:pt idx="42">
                  <c:v>118.87710484089736</c:v>
                </c:pt>
                <c:pt idx="43">
                  <c:v>119.42736162660434</c:v>
                </c:pt>
                <c:pt idx="44">
                  <c:v>119.97948777806688</c:v>
                </c:pt>
                <c:pt idx="45">
                  <c:v>120.51404275654029</c:v>
                </c:pt>
                <c:pt idx="46">
                  <c:v>121.06454730109726</c:v>
                </c:pt>
                <c:pt idx="47">
                  <c:v>121.60438091283807</c:v>
                </c:pt>
                <c:pt idx="48">
                  <c:v>122.15963901492313</c:v>
                </c:pt>
                <c:pt idx="49">
                  <c:v>122.71587613694497</c:v>
                </c:pt>
                <c:pt idx="50">
                  <c:v>123.2048297893938</c:v>
                </c:pt>
                <c:pt idx="51">
                  <c:v>123.78351660274959</c:v>
                </c:pt>
                <c:pt idx="52">
                  <c:v>124.39789847338814</c:v>
                </c:pt>
                <c:pt idx="53">
                  <c:v>125.00086325094951</c:v>
                </c:pt>
                <c:pt idx="54">
                  <c:v>125.58009003921885</c:v>
                </c:pt>
                <c:pt idx="55">
                  <c:v>126.18249729929042</c:v>
                </c:pt>
                <c:pt idx="56">
                  <c:v>126.78612893505614</c:v>
                </c:pt>
                <c:pt idx="57">
                  <c:v>127.36438487390369</c:v>
                </c:pt>
                <c:pt idx="58">
                  <c:v>127.97251221535849</c:v>
                </c:pt>
                <c:pt idx="59">
                  <c:v>128.56550560036783</c:v>
                </c:pt>
                <c:pt idx="60">
                  <c:v>129.1732097572108</c:v>
                </c:pt>
                <c:pt idx="61">
                  <c:v>129.79194458983636</c:v>
                </c:pt>
                <c:pt idx="62">
                  <c:v>130.35072466447753</c:v>
                </c:pt>
                <c:pt idx="63">
                  <c:v>130.96859510468465</c:v>
                </c:pt>
                <c:pt idx="64">
                  <c:v>131.54774042811391</c:v>
                </c:pt>
                <c:pt idx="65">
                  <c:v>132.18395848053839</c:v>
                </c:pt>
                <c:pt idx="66">
                  <c:v>132.81906846695196</c:v>
                </c:pt>
                <c:pt idx="67">
                  <c:v>133.45970027960692</c:v>
                </c:pt>
                <c:pt idx="68">
                  <c:v>134.15716331044794</c:v>
                </c:pt>
                <c:pt idx="69">
                  <c:v>134.84253830474989</c:v>
                </c:pt>
                <c:pt idx="70">
                  <c:v>135.52548761735281</c:v>
                </c:pt>
                <c:pt idx="71">
                  <c:v>136.2244554647977</c:v>
                </c:pt>
                <c:pt idx="72">
                  <c:v>136.95137536476764</c:v>
                </c:pt>
                <c:pt idx="73">
                  <c:v>137.70229855545571</c:v>
                </c:pt>
                <c:pt idx="74">
                  <c:v>138.37980942913146</c:v>
                </c:pt>
                <c:pt idx="75">
                  <c:v>139.10425991111651</c:v>
                </c:pt>
                <c:pt idx="76">
                  <c:v>139.86586196482639</c:v>
                </c:pt>
                <c:pt idx="77">
                  <c:v>140.62135751985841</c:v>
                </c:pt>
                <c:pt idx="78">
                  <c:v>141.35040415680439</c:v>
                </c:pt>
                <c:pt idx="79">
                  <c:v>142.09277209742632</c:v>
                </c:pt>
                <c:pt idx="80">
                  <c:v>142.8468887579082</c:v>
                </c:pt>
                <c:pt idx="81">
                  <c:v>143.66487505457528</c:v>
                </c:pt>
                <c:pt idx="82">
                  <c:v>144.48809000018309</c:v>
                </c:pt>
                <c:pt idx="83">
                  <c:v>145.29297992264424</c:v>
                </c:pt>
                <c:pt idx="84">
                  <c:v>146.1691422081322</c:v>
                </c:pt>
                <c:pt idx="85">
                  <c:v>147.04159652169463</c:v>
                </c:pt>
                <c:pt idx="86">
                  <c:v>147.8376231176147</c:v>
                </c:pt>
                <c:pt idx="87">
                  <c:v>148.82229560887964</c:v>
                </c:pt>
                <c:pt idx="88">
                  <c:v>149.79443188683035</c:v>
                </c:pt>
                <c:pt idx="89">
                  <c:v>150.77695649390409</c:v>
                </c:pt>
                <c:pt idx="90">
                  <c:v>151.72524736432234</c:v>
                </c:pt>
                <c:pt idx="91">
                  <c:v>152.73853540198701</c:v>
                </c:pt>
                <c:pt idx="92">
                  <c:v>153.75865278859217</c:v>
                </c:pt>
                <c:pt idx="93">
                  <c:v>154.65987860926592</c:v>
                </c:pt>
                <c:pt idx="94">
                  <c:v>155.76476773173752</c:v>
                </c:pt>
                <c:pt idx="95">
                  <c:v>156.61317790200715</c:v>
                </c:pt>
                <c:pt idx="96">
                  <c:v>157.27987606040168</c:v>
                </c:pt>
                <c:pt idx="97">
                  <c:v>157.90989125013391</c:v>
                </c:pt>
                <c:pt idx="98">
                  <c:v>158.36942359922475</c:v>
                </c:pt>
                <c:pt idx="99">
                  <c:v>158.78578222646416</c:v>
                </c:pt>
                <c:pt idx="100">
                  <c:v>159.20550085781647</c:v>
                </c:pt>
                <c:pt idx="101">
                  <c:v>159.60580226042256</c:v>
                </c:pt>
                <c:pt idx="102">
                  <c:v>160.03272536347464</c:v>
                </c:pt>
                <c:pt idx="103">
                  <c:v>160.45697502597773</c:v>
                </c:pt>
                <c:pt idx="104">
                  <c:v>160.86297944800941</c:v>
                </c:pt>
                <c:pt idx="105">
                  <c:v>161.31813312202215</c:v>
                </c:pt>
                <c:pt idx="106">
                  <c:v>161.73074821156513</c:v>
                </c:pt>
                <c:pt idx="107">
                  <c:v>162.22167215965993</c:v>
                </c:pt>
                <c:pt idx="108">
                  <c:v>162.74501671102217</c:v>
                </c:pt>
                <c:pt idx="109">
                  <c:v>163.30952311508739</c:v>
                </c:pt>
                <c:pt idx="110">
                  <c:v>163.87341000187303</c:v>
                </c:pt>
                <c:pt idx="111">
                  <c:v>164.40893486853125</c:v>
                </c:pt>
                <c:pt idx="112">
                  <c:v>164.9784151937186</c:v>
                </c:pt>
                <c:pt idx="113">
                  <c:v>165.59748549807506</c:v>
                </c:pt>
                <c:pt idx="114">
                  <c:v>166.25173034985099</c:v>
                </c:pt>
                <c:pt idx="115">
                  <c:v>166.95353721092701</c:v>
                </c:pt>
                <c:pt idx="116">
                  <c:v>167.63134318437753</c:v>
                </c:pt>
                <c:pt idx="117">
                  <c:v>168.25407219726063</c:v>
                </c:pt>
                <c:pt idx="118">
                  <c:v>168.96060930586626</c:v>
                </c:pt>
                <c:pt idx="119">
                  <c:v>169.61738653665395</c:v>
                </c:pt>
                <c:pt idx="120">
                  <c:v>170.33686622153729</c:v>
                </c:pt>
                <c:pt idx="121">
                  <c:v>171.06663835214781</c:v>
                </c:pt>
                <c:pt idx="122">
                  <c:v>171.70127444869507</c:v>
                </c:pt>
                <c:pt idx="123">
                  <c:v>172.42034801092424</c:v>
                </c:pt>
                <c:pt idx="124">
                  <c:v>173.11459642475634</c:v>
                </c:pt>
                <c:pt idx="125">
                  <c:v>173.83559702696417</c:v>
                </c:pt>
                <c:pt idx="126">
                  <c:v>174.53822214108013</c:v>
                </c:pt>
                <c:pt idx="127">
                  <c:v>175.26819589116212</c:v>
                </c:pt>
                <c:pt idx="128">
                  <c:v>176.01522871519418</c:v>
                </c:pt>
                <c:pt idx="129">
                  <c:v>176.69611160844599</c:v>
                </c:pt>
                <c:pt idx="130">
                  <c:v>177.43846897546035</c:v>
                </c:pt>
                <c:pt idx="131">
                  <c:v>178.13464923545638</c:v>
                </c:pt>
                <c:pt idx="132">
                  <c:v>178.85291824227355</c:v>
                </c:pt>
                <c:pt idx="133">
                  <c:v>179.54930685040046</c:v>
                </c:pt>
                <c:pt idx="134">
                  <c:v>180.14622616783669</c:v>
                </c:pt>
                <c:pt idx="135">
                  <c:v>180.84962700025307</c:v>
                </c:pt>
                <c:pt idx="136">
                  <c:v>181.53379972731304</c:v>
                </c:pt>
                <c:pt idx="137">
                  <c:v>182.22538887884264</c:v>
                </c:pt>
                <c:pt idx="138">
                  <c:v>182.74251374586419</c:v>
                </c:pt>
                <c:pt idx="139">
                  <c:v>183.27701681753686</c:v>
                </c:pt>
                <c:pt idx="140">
                  <c:v>183.82522520708744</c:v>
                </c:pt>
                <c:pt idx="141">
                  <c:v>184.4009845730034</c:v>
                </c:pt>
                <c:pt idx="142">
                  <c:v>184.9478813545974</c:v>
                </c:pt>
                <c:pt idx="143">
                  <c:v>185.41827183742012</c:v>
                </c:pt>
                <c:pt idx="144">
                  <c:v>185.9513779913479</c:v>
                </c:pt>
                <c:pt idx="145">
                  <c:v>186.45053733788004</c:v>
                </c:pt>
                <c:pt idx="146">
                  <c:v>186.86924066259689</c:v>
                </c:pt>
                <c:pt idx="147">
                  <c:v>187.32952638122674</c:v>
                </c:pt>
                <c:pt idx="148">
                  <c:v>187.81917693053776</c:v>
                </c:pt>
                <c:pt idx="149">
                  <c:v>188.30163646546779</c:v>
                </c:pt>
                <c:pt idx="150">
                  <c:v>188.73460863328393</c:v>
                </c:pt>
                <c:pt idx="151">
                  <c:v>189.21240977315389</c:v>
                </c:pt>
                <c:pt idx="152">
                  <c:v>189.65019942076205</c:v>
                </c:pt>
                <c:pt idx="153">
                  <c:v>190.05042320347624</c:v>
                </c:pt>
                <c:pt idx="154">
                  <c:v>190.46466927198605</c:v>
                </c:pt>
                <c:pt idx="155">
                  <c:v>190.87070277143852</c:v>
                </c:pt>
                <c:pt idx="156">
                  <c:v>191.28063697084531</c:v>
                </c:pt>
                <c:pt idx="157">
                  <c:v>191.70959837706476</c:v>
                </c:pt>
                <c:pt idx="158">
                  <c:v>192.09170692661877</c:v>
                </c:pt>
                <c:pt idx="159">
                  <c:v>192.51042947607667</c:v>
                </c:pt>
                <c:pt idx="160">
                  <c:v>192.93673930989002</c:v>
                </c:pt>
                <c:pt idx="161">
                  <c:v>193.37058235847468</c:v>
                </c:pt>
                <c:pt idx="162">
                  <c:v>193.7964130156179</c:v>
                </c:pt>
                <c:pt idx="163">
                  <c:v>194.24198652055853</c:v>
                </c:pt>
                <c:pt idx="164">
                  <c:v>194.68216700502262</c:v>
                </c:pt>
                <c:pt idx="165">
                  <c:v>195.08588728751104</c:v>
                </c:pt>
                <c:pt idx="166">
                  <c:v>195.53682065024989</c:v>
                </c:pt>
                <c:pt idx="167">
                  <c:v>195.97653589598116</c:v>
                </c:pt>
                <c:pt idx="168">
                  <c:v>196.43083262716263</c:v>
                </c:pt>
                <c:pt idx="169">
                  <c:v>196.92471213888103</c:v>
                </c:pt>
                <c:pt idx="170">
                  <c:v>197.33623213911329</c:v>
                </c:pt>
                <c:pt idx="171">
                  <c:v>197.74133780450194</c:v>
                </c:pt>
                <c:pt idx="172">
                  <c:v>198.09672300279178</c:v>
                </c:pt>
                <c:pt idx="173">
                  <c:v>198.49343802995938</c:v>
                </c:pt>
                <c:pt idx="174">
                  <c:v>198.84257783081742</c:v>
                </c:pt>
                <c:pt idx="175">
                  <c:v>199.20121441343343</c:v>
                </c:pt>
                <c:pt idx="176">
                  <c:v>199.56165619923183</c:v>
                </c:pt>
                <c:pt idx="177">
                  <c:v>199.91325436384875</c:v>
                </c:pt>
                <c:pt idx="178">
                  <c:v>200.29130601242761</c:v>
                </c:pt>
                <c:pt idx="179">
                  <c:v>200.62520035334222</c:v>
                </c:pt>
                <c:pt idx="180">
                  <c:v>201.0094983605899</c:v>
                </c:pt>
                <c:pt idx="181">
                  <c:v>201.41353969625348</c:v>
                </c:pt>
                <c:pt idx="182">
                  <c:v>201.77182062116051</c:v>
                </c:pt>
                <c:pt idx="183">
                  <c:v>202.17145732834564</c:v>
                </c:pt>
                <c:pt idx="184">
                  <c:v>202.57367591825064</c:v>
                </c:pt>
                <c:pt idx="185">
                  <c:v>202.96567751953697</c:v>
                </c:pt>
                <c:pt idx="186">
                  <c:v>203.30024881164499</c:v>
                </c:pt>
                <c:pt idx="187">
                  <c:v>203.65198923934545</c:v>
                </c:pt>
                <c:pt idx="188">
                  <c:v>203.99601285599778</c:v>
                </c:pt>
                <c:pt idx="189">
                  <c:v>204.28485738064603</c:v>
                </c:pt>
                <c:pt idx="190">
                  <c:v>204.58335921363977</c:v>
                </c:pt>
                <c:pt idx="191">
                  <c:v>204.87907946691618</c:v>
                </c:pt>
                <c:pt idx="192">
                  <c:v>205.17642397050014</c:v>
                </c:pt>
                <c:pt idx="193">
                  <c:v>205.49854291722667</c:v>
                </c:pt>
                <c:pt idx="194">
                  <c:v>205.77482215113986</c:v>
                </c:pt>
                <c:pt idx="195">
                  <c:v>206.0837969021172</c:v>
                </c:pt>
                <c:pt idx="196">
                  <c:v>206.38984324441762</c:v>
                </c:pt>
                <c:pt idx="197">
                  <c:v>206.69683448273949</c:v>
                </c:pt>
                <c:pt idx="198">
                  <c:v>206.99303823825275</c:v>
                </c:pt>
                <c:pt idx="199">
                  <c:v>207.29472272712346</c:v>
                </c:pt>
                <c:pt idx="200">
                  <c:v>207.58925056583772</c:v>
                </c:pt>
                <c:pt idx="201">
                  <c:v>207.88322088706221</c:v>
                </c:pt>
                <c:pt idx="202">
                  <c:v>208.18840163539792</c:v>
                </c:pt>
                <c:pt idx="203">
                  <c:v>208.46577619893111</c:v>
                </c:pt>
                <c:pt idx="204">
                  <c:v>208.76452098458958</c:v>
                </c:pt>
                <c:pt idx="205">
                  <c:v>209.08988098234397</c:v>
                </c:pt>
                <c:pt idx="206">
                  <c:v>209.36961273943629</c:v>
                </c:pt>
                <c:pt idx="207">
                  <c:v>209.6591440679577</c:v>
                </c:pt>
                <c:pt idx="208">
                  <c:v>210.00311481657226</c:v>
                </c:pt>
                <c:pt idx="209">
                  <c:v>210.36572371130288</c:v>
                </c:pt>
                <c:pt idx="210">
                  <c:v>210.68419884867706</c:v>
                </c:pt>
                <c:pt idx="211">
                  <c:v>211.08510150505876</c:v>
                </c:pt>
                <c:pt idx="212">
                  <c:v>211.43850271007469</c:v>
                </c:pt>
                <c:pt idx="213">
                  <c:v>211.77217860986937</c:v>
                </c:pt>
                <c:pt idx="214">
                  <c:v>212.12812949616395</c:v>
                </c:pt>
                <c:pt idx="215">
                  <c:v>212.45598318313873</c:v>
                </c:pt>
                <c:pt idx="216">
                  <c:v>212.77941397813106</c:v>
                </c:pt>
                <c:pt idx="217">
                  <c:v>213.16306483253393</c:v>
                </c:pt>
                <c:pt idx="218">
                  <c:v>213.53185616366952</c:v>
                </c:pt>
                <c:pt idx="219">
                  <c:v>213.8850108113817</c:v>
                </c:pt>
                <c:pt idx="220">
                  <c:v>214.23510271753915</c:v>
                </c:pt>
                <c:pt idx="221">
                  <c:v>214.55850611727553</c:v>
                </c:pt>
                <c:pt idx="222">
                  <c:v>214.84266196789662</c:v>
                </c:pt>
                <c:pt idx="223">
                  <c:v>215.10009278508869</c:v>
                </c:pt>
                <c:pt idx="224">
                  <c:v>215.2798938577057</c:v>
                </c:pt>
                <c:pt idx="225">
                  <c:v>215.46191658945764</c:v>
                </c:pt>
                <c:pt idx="226">
                  <c:v>215.63587742606003</c:v>
                </c:pt>
                <c:pt idx="227">
                  <c:v>215.8131545304895</c:v>
                </c:pt>
                <c:pt idx="228">
                  <c:v>215.96896144414035</c:v>
                </c:pt>
                <c:pt idx="229">
                  <c:v>216.14508338194344</c:v>
                </c:pt>
                <c:pt idx="230">
                  <c:v>216.30804502327666</c:v>
                </c:pt>
                <c:pt idx="231">
                  <c:v>216.52293581414344</c:v>
                </c:pt>
                <c:pt idx="232">
                  <c:v>216.62572137266119</c:v>
                </c:pt>
                <c:pt idx="233">
                  <c:v>216.64500859409625</c:v>
                </c:pt>
                <c:pt idx="234">
                  <c:v>216.6612554227379</c:v>
                </c:pt>
                <c:pt idx="235">
                  <c:v>216.6809434800233</c:v>
                </c:pt>
                <c:pt idx="236">
                  <c:v>216.70108163655806</c:v>
                </c:pt>
                <c:pt idx="237">
                  <c:v>216.71661258390571</c:v>
                </c:pt>
                <c:pt idx="238">
                  <c:v>216.74074612224436</c:v>
                </c:pt>
                <c:pt idx="239">
                  <c:v>216.75596731095223</c:v>
                </c:pt>
                <c:pt idx="240">
                  <c:v>216.76152710605712</c:v>
                </c:pt>
                <c:pt idx="241">
                  <c:v>216.76420631402848</c:v>
                </c:pt>
                <c:pt idx="242">
                  <c:v>216.76321792203046</c:v>
                </c:pt>
                <c:pt idx="243">
                  <c:v>216.76761125597361</c:v>
                </c:pt>
                <c:pt idx="244">
                  <c:v>216.77387467660009</c:v>
                </c:pt>
                <c:pt idx="245">
                  <c:v>216.78240637635849</c:v>
                </c:pt>
                <c:pt idx="246">
                  <c:v>216.78807455094096</c:v>
                </c:pt>
                <c:pt idx="247">
                  <c:v>216.79456338165599</c:v>
                </c:pt>
                <c:pt idx="248">
                  <c:v>216.79787075804035</c:v>
                </c:pt>
                <c:pt idx="249">
                  <c:v>216.79906341291181</c:v>
                </c:pt>
                <c:pt idx="250">
                  <c:v>216.79676918037956</c:v>
                </c:pt>
                <c:pt idx="251">
                  <c:v>216.80879449620102</c:v>
                </c:pt>
                <c:pt idx="252">
                  <c:v>216.81666150053846</c:v>
                </c:pt>
                <c:pt idx="253">
                  <c:v>216.82754799076332</c:v>
                </c:pt>
                <c:pt idx="254">
                  <c:v>216.83858082932926</c:v>
                </c:pt>
                <c:pt idx="255">
                  <c:v>216.84591314555686</c:v>
                </c:pt>
                <c:pt idx="256">
                  <c:v>216.81127232501009</c:v>
                </c:pt>
                <c:pt idx="257">
                  <c:v>216.8868421385842</c:v>
                </c:pt>
                <c:pt idx="258">
                  <c:v>216.99582839701083</c:v>
                </c:pt>
                <c:pt idx="259">
                  <c:v>217.26211340899206</c:v>
                </c:pt>
                <c:pt idx="260">
                  <c:v>217.59839450150517</c:v>
                </c:pt>
                <c:pt idx="261">
                  <c:v>217.91582982069909</c:v>
                </c:pt>
                <c:pt idx="262">
                  <c:v>218.44418530080998</c:v>
                </c:pt>
                <c:pt idx="263">
                  <c:v>218.98834616144663</c:v>
                </c:pt>
                <c:pt idx="264">
                  <c:v>219.53506895913438</c:v>
                </c:pt>
                <c:pt idx="265">
                  <c:v>220.11866937598734</c:v>
                </c:pt>
                <c:pt idx="266">
                  <c:v>220.64737378514781</c:v>
                </c:pt>
                <c:pt idx="267">
                  <c:v>221.27388814953906</c:v>
                </c:pt>
                <c:pt idx="268">
                  <c:v>221.94766029170361</c:v>
                </c:pt>
                <c:pt idx="269">
                  <c:v>222.60197915873252</c:v>
                </c:pt>
                <c:pt idx="270">
                  <c:v>223.27206015061995</c:v>
                </c:pt>
                <c:pt idx="271">
                  <c:v>224.10552813123584</c:v>
                </c:pt>
                <c:pt idx="272">
                  <c:v>224.92430288259428</c:v>
                </c:pt>
                <c:pt idx="273">
                  <c:v>225.68316805410976</c:v>
                </c:pt>
                <c:pt idx="274">
                  <c:v>226.43862732244307</c:v>
                </c:pt>
                <c:pt idx="275">
                  <c:v>227.23102789189625</c:v>
                </c:pt>
                <c:pt idx="276">
                  <c:v>228.06974807176064</c:v>
                </c:pt>
                <c:pt idx="277">
                  <c:v>228.91274383402933</c:v>
                </c:pt>
                <c:pt idx="278">
                  <c:v>229.70172360112608</c:v>
                </c:pt>
                <c:pt idx="279">
                  <c:v>230.54492626967007</c:v>
                </c:pt>
                <c:pt idx="280">
                  <c:v>231.35721963990065</c:v>
                </c:pt>
                <c:pt idx="281">
                  <c:v>232.22412785598615</c:v>
                </c:pt>
                <c:pt idx="282">
                  <c:v>233.03735506801209</c:v>
                </c:pt>
                <c:pt idx="283">
                  <c:v>233.9082392008512</c:v>
                </c:pt>
                <c:pt idx="284">
                  <c:v>234.79210796408898</c:v>
                </c:pt>
                <c:pt idx="285">
                  <c:v>235.63450367412841</c:v>
                </c:pt>
                <c:pt idx="286">
                  <c:v>236.51663692386998</c:v>
                </c:pt>
                <c:pt idx="287">
                  <c:v>237.36985424063332</c:v>
                </c:pt>
                <c:pt idx="288">
                  <c:v>238.26379076043753</c:v>
                </c:pt>
                <c:pt idx="289">
                  <c:v>239.17379243508068</c:v>
                </c:pt>
                <c:pt idx="290">
                  <c:v>239.98452739974172</c:v>
                </c:pt>
                <c:pt idx="291">
                  <c:v>240.81731506483453</c:v>
                </c:pt>
                <c:pt idx="292">
                  <c:v>241.66649614721931</c:v>
                </c:pt>
                <c:pt idx="293">
                  <c:v>242.496384481056</c:v>
                </c:pt>
                <c:pt idx="294">
                  <c:v>243.26807976411413</c:v>
                </c:pt>
                <c:pt idx="295">
                  <c:v>244.00014780942175</c:v>
                </c:pt>
                <c:pt idx="296">
                  <c:v>244.78201418202937</c:v>
                </c:pt>
              </c:numCache>
            </c:numRef>
          </c:val>
          <c:smooth val="0"/>
          <c:extLst>
            <c:ext xmlns:c16="http://schemas.microsoft.com/office/drawing/2014/chart" uri="{C3380CC4-5D6E-409C-BE32-E72D297353CC}">
              <c16:uniqueId val="{00000003-048F-4678-AC7E-05D11115C593}"/>
            </c:ext>
          </c:extLst>
        </c:ser>
        <c:dLbls>
          <c:showLegendKey val="0"/>
          <c:showVal val="0"/>
          <c:showCatName val="0"/>
          <c:showSerName val="0"/>
          <c:showPercent val="0"/>
          <c:showBubbleSize val="0"/>
        </c:dLbls>
        <c:smooth val="0"/>
        <c:axId val="796942800"/>
        <c:axId val="796938880"/>
      </c:lineChart>
      <c:dateAx>
        <c:axId val="796942800"/>
        <c:scaling>
          <c:orientation val="minMax"/>
          <c:max val="45929"/>
          <c:min val="36829"/>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938880"/>
        <c:crosses val="autoZero"/>
        <c:auto val="1"/>
        <c:lblOffset val="100"/>
        <c:baseTimeUnit val="months"/>
      </c:dateAx>
      <c:valAx>
        <c:axId val="79693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942800"/>
        <c:crosses val="autoZero"/>
        <c:crossBetween val="between"/>
      </c:valAx>
      <c:spPr>
        <a:noFill/>
        <a:ln>
          <a:noFill/>
        </a:ln>
        <a:effectLst/>
      </c:spPr>
    </c:plotArea>
    <c:legend>
      <c:legendPos val="b"/>
      <c:layout>
        <c:manualLayout>
          <c:xMode val="edge"/>
          <c:yMode val="edge"/>
          <c:x val="5.1454632073098271E-2"/>
          <c:y val="0.90149519513737253"/>
          <c:w val="0.89999994553694307"/>
          <c:h val="9.8447797219651731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18</xdr:row>
          <xdr:rowOff>254000</xdr:rowOff>
        </xdr:from>
        <xdr:to>
          <xdr:col>2</xdr:col>
          <xdr:colOff>342900</xdr:colOff>
          <xdr:row>19</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Optimise</a:t>
              </a:r>
            </a:p>
          </xdr:txBody>
        </xdr:sp>
        <xdr:clientData fPrintsWithSheet="0"/>
      </xdr:twoCellAnchor>
    </mc:Choice>
    <mc:Fallback/>
  </mc:AlternateContent>
  <xdr:twoCellAnchor>
    <xdr:from>
      <xdr:col>23</xdr:col>
      <xdr:colOff>385753</xdr:colOff>
      <xdr:row>21</xdr:row>
      <xdr:rowOff>146050</xdr:rowOff>
    </xdr:from>
    <xdr:to>
      <xdr:col>31</xdr:col>
      <xdr:colOff>77899</xdr:colOff>
      <xdr:row>37</xdr:row>
      <xdr:rowOff>96371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266700</xdr:colOff>
          <xdr:row>19</xdr:row>
          <xdr:rowOff>304800</xdr:rowOff>
        </xdr:from>
        <xdr:to>
          <xdr:col>2</xdr:col>
          <xdr:colOff>355600</xdr:colOff>
          <xdr:row>19</xdr:row>
          <xdr:rowOff>723900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Reset Optimisation</a:t>
              </a:r>
            </a:p>
          </xdr:txBody>
        </xdr:sp>
        <xdr:clientData fPrintsWithSheet="0"/>
      </xdr:twoCellAnchor>
    </mc:Choice>
    <mc:Fallback/>
  </mc:AlternateContent>
  <xdr:twoCellAnchor>
    <xdr:from>
      <xdr:col>11</xdr:col>
      <xdr:colOff>437277</xdr:colOff>
      <xdr:row>11</xdr:row>
      <xdr:rowOff>149916</xdr:rowOff>
    </xdr:from>
    <xdr:to>
      <xdr:col>20</xdr:col>
      <xdr:colOff>578223</xdr:colOff>
      <xdr:row>19</xdr:row>
      <xdr:rowOff>1048871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260350</xdr:colOff>
      <xdr:row>32</xdr:row>
      <xdr:rowOff>152400</xdr:rowOff>
    </xdr:from>
    <xdr:to>
      <xdr:col>7</xdr:col>
      <xdr:colOff>114300</xdr:colOff>
      <xdr:row>38</xdr:row>
      <xdr:rowOff>158750</xdr:rowOff>
    </xdr:to>
    <xdr:sp macro="" textlink="">
      <xdr:nvSpPr>
        <xdr:cNvPr id="5" name="Speech Bubble: Oval 4">
          <a:extLst>
            <a:ext uri="{FF2B5EF4-FFF2-40B4-BE49-F238E27FC236}">
              <a16:creationId xmlns:a16="http://schemas.microsoft.com/office/drawing/2014/main" id="{00000000-0008-0000-0000-000005000000}"/>
            </a:ext>
          </a:extLst>
        </xdr:cNvPr>
        <xdr:cNvSpPr/>
      </xdr:nvSpPr>
      <xdr:spPr>
        <a:xfrm>
          <a:off x="4654550" y="7562850"/>
          <a:ext cx="1657350" cy="1117600"/>
        </a:xfrm>
        <a:prstGeom prst="wedgeEllipseCallout">
          <a:avLst>
            <a:gd name="adj1" fmla="val 4712"/>
            <a:gd name="adj2" fmla="val -78365"/>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AU" sz="1100"/>
            <a:t>Enter your forecast here (green background)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705644</xdr:colOff>
      <xdr:row>12</xdr:row>
      <xdr:rowOff>152871</xdr:rowOff>
    </xdr:from>
    <xdr:to>
      <xdr:col>24</xdr:col>
      <xdr:colOff>648494</xdr:colOff>
      <xdr:row>48</xdr:row>
      <xdr:rowOff>113982</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406400</xdr:colOff>
          <xdr:row>0</xdr:row>
          <xdr:rowOff>38100</xdr:rowOff>
        </xdr:from>
        <xdr:to>
          <xdr:col>5</xdr:col>
          <xdr:colOff>0</xdr:colOff>
          <xdr:row>1</xdr:row>
          <xdr:rowOff>190500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Graph rescale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800100</xdr:colOff>
      <xdr:row>24</xdr:row>
      <xdr:rowOff>66675</xdr:rowOff>
    </xdr:from>
    <xdr:to>
      <xdr:col>4</xdr:col>
      <xdr:colOff>1155979</xdr:colOff>
      <xdr:row>32</xdr:row>
      <xdr:rowOff>9525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a:srcRect l="33772" t="56615" r="36580" b="31112"/>
        <a:stretch/>
      </xdr:blipFill>
      <xdr:spPr bwMode="auto">
        <a:xfrm>
          <a:off x="800100" y="1581150"/>
          <a:ext cx="6299479" cy="1466850"/>
        </a:xfrm>
        <a:prstGeom prst="rect">
          <a:avLst/>
        </a:prstGeom>
        <a:ln>
          <a:noFill/>
        </a:ln>
        <a:extLst>
          <a:ext uri="{53640926-AAD7-44D8-BBD7-CCE9431645EC}">
            <a14:shadowObscured xmlns:a14="http://schemas.microsoft.com/office/drawing/2010/main"/>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K54"/>
  <sheetViews>
    <sheetView zoomScale="70" zoomScaleNormal="70" workbookViewId="0">
      <selection activeCell="Q57" sqref="Q57"/>
    </sheetView>
  </sheetViews>
  <sheetFormatPr baseColWidth="10" defaultColWidth="9.1640625" defaultRowHeight="15" x14ac:dyDescent="0.2"/>
  <cols>
    <col min="1" max="1" width="9.5" style="3" customWidth="1"/>
    <col min="2" max="2" width="32.33203125" style="3" customWidth="1"/>
    <col min="3" max="3" width="12.6640625" style="3" bestFit="1" customWidth="1"/>
    <col min="4" max="4" width="8.5" style="3" customWidth="1"/>
    <col min="5" max="5" width="8.1640625" style="3" customWidth="1"/>
    <col min="6" max="6" width="9.1640625" style="3" customWidth="1"/>
    <col min="7" max="7" width="8.5" style="3" customWidth="1"/>
    <col min="8" max="9" width="12.33203125" style="3" customWidth="1"/>
    <col min="10" max="10" width="7.6640625" style="3" customWidth="1"/>
    <col min="11" max="11" width="8.83203125" style="3" customWidth="1"/>
    <col min="12" max="23" width="9.83203125" style="3" customWidth="1"/>
    <col min="24" max="24" width="9.1640625" style="3"/>
    <col min="25" max="25" width="11" style="3" bestFit="1" customWidth="1"/>
    <col min="26" max="29" width="9.1640625" style="3"/>
    <col min="30" max="30" width="10.6640625" style="3" customWidth="1"/>
    <col min="31" max="16384" width="9.1640625" style="3"/>
  </cols>
  <sheetData>
    <row r="1" spans="1:37" ht="6.75" customHeight="1" x14ac:dyDescent="0.2"/>
    <row r="2" spans="1:37" ht="34.5" customHeight="1" x14ac:dyDescent="0.2">
      <c r="B2" s="183" t="s">
        <v>19</v>
      </c>
      <c r="I2" s="196" t="s">
        <v>94</v>
      </c>
      <c r="J2" s="197"/>
      <c r="N2" s="183" t="s">
        <v>13</v>
      </c>
      <c r="O2" s="117">
        <f>M4</f>
        <v>1</v>
      </c>
      <c r="P2" s="117">
        <f>M5</f>
        <v>3</v>
      </c>
      <c r="Q2" s="117">
        <f>M6</f>
        <v>4</v>
      </c>
      <c r="R2" s="117">
        <f>M7</f>
        <v>7</v>
      </c>
      <c r="S2" s="117">
        <f>M8</f>
        <v>8</v>
      </c>
      <c r="T2" s="3">
        <f>M9</f>
        <v>5</v>
      </c>
      <c r="U2" s="3">
        <f>M10</f>
        <v>6</v>
      </c>
      <c r="V2" s="117">
        <f>M11</f>
        <v>9</v>
      </c>
      <c r="X2" s="183" t="s">
        <v>1</v>
      </c>
    </row>
    <row r="3" spans="1:37" ht="16" x14ac:dyDescent="0.2">
      <c r="A3" s="155" t="s">
        <v>66</v>
      </c>
      <c r="B3" s="31" t="s">
        <v>32</v>
      </c>
      <c r="C3" s="32" t="s">
        <v>33</v>
      </c>
      <c r="D3" s="32" t="s">
        <v>8</v>
      </c>
      <c r="E3" s="32" t="s">
        <v>5</v>
      </c>
      <c r="F3" s="32" t="s">
        <v>35</v>
      </c>
      <c r="G3" s="32" t="s">
        <v>10</v>
      </c>
      <c r="H3" s="33" t="s">
        <v>6</v>
      </c>
      <c r="I3" s="33" t="s">
        <v>27</v>
      </c>
      <c r="J3" s="33" t="s">
        <v>28</v>
      </c>
      <c r="N3" s="6"/>
      <c r="O3" s="4" t="str">
        <f>D4</f>
        <v>AEQ</v>
      </c>
      <c r="P3" s="4" t="str">
        <f>D5</f>
        <v>ILE</v>
      </c>
      <c r="Q3" s="4" t="str">
        <f>D6</f>
        <v>ALP</v>
      </c>
      <c r="R3" s="4" t="str">
        <f>N7</f>
        <v>AFI</v>
      </c>
      <c r="S3" s="4" t="str">
        <f>N8</f>
        <v>IFI</v>
      </c>
      <c r="T3" s="4" t="str">
        <f>N9</f>
        <v>ILP</v>
      </c>
      <c r="U3" s="4" t="str">
        <f>N10</f>
        <v>ILI</v>
      </c>
      <c r="V3" s="5" t="s">
        <v>30</v>
      </c>
      <c r="X3" s="6"/>
      <c r="Y3" s="4" t="str">
        <f>N4</f>
        <v>AEQ</v>
      </c>
      <c r="Z3" s="4" t="str">
        <f>N5</f>
        <v>ILE</v>
      </c>
      <c r="AA3" s="4" t="str">
        <f>N6</f>
        <v>ALP</v>
      </c>
      <c r="AB3" s="4" t="str">
        <f>N7</f>
        <v>AFI</v>
      </c>
      <c r="AC3" s="4" t="str">
        <f>N8</f>
        <v>IFI</v>
      </c>
      <c r="AD3" s="4" t="str">
        <f>X9</f>
        <v>ILP</v>
      </c>
      <c r="AE3" s="4" t="str">
        <f>X10</f>
        <v>ILI</v>
      </c>
      <c r="AF3" s="5" t="s">
        <v>30</v>
      </c>
    </row>
    <row r="4" spans="1:37" ht="13.5" customHeight="1" x14ac:dyDescent="0.2">
      <c r="A4" s="181">
        <v>1</v>
      </c>
      <c r="B4" s="136" t="str">
        <f t="shared" ref="B4:B11" ca="1" si="0">IF($A4=2,"Not Valid Asset Class",OFFSET(AssetClasses,0,$A4-1,1,1))</f>
        <v>Australian Listed Equity [G]</v>
      </c>
      <c r="C4" s="159">
        <f>VLOOKUP(A4,'Monthly Raw Data'!$AM$7:$AO$16,3,TRUE)</f>
        <v>1</v>
      </c>
      <c r="D4" s="159" t="str">
        <f>VLOOKUP(A4,'Monthly Raw Data'!$AM$7:$AN$16,2,TRUE)</f>
        <v>AEQ</v>
      </c>
      <c r="E4" s="160">
        <f t="shared" ref="E4:E11" si="1">VLOOKUP(A4,$D$23:$F$31,3,FALSE)</f>
        <v>0.08</v>
      </c>
      <c r="F4" s="161">
        <f>E4*(1-VLOOKUP(A4,'Cost and Fees'!$A$8:$D$17,4))-VLOOKUP(A4,'Cost and Fees'!$A$8:$D$17,3)</f>
        <v>7.6499999999999999E-2</v>
      </c>
      <c r="G4" s="157">
        <f t="shared" ref="G4:G11" si="2">VLOOKUP(A4,$D$23:$G$31,4,FALSE)</f>
        <v>0.14000000000000001</v>
      </c>
      <c r="H4" s="193">
        <f t="shared" ref="H4:H10" si="3">F4/G4</f>
        <v>0.54642857142857137</v>
      </c>
      <c r="I4" s="167">
        <v>0.1</v>
      </c>
      <c r="J4" s="168">
        <v>0.5</v>
      </c>
      <c r="M4" s="3">
        <f t="shared" ref="M4:M11" si="4">A4</f>
        <v>1</v>
      </c>
      <c r="N4" s="9" t="str">
        <f t="shared" ref="N4:N11" si="5">D4</f>
        <v>AEQ</v>
      </c>
      <c r="O4" s="39">
        <f ca="1">CORREL(OFFSET('Monthly Raw Data'!$B$4,'Monthly Raw Data'!$C$1,$M4,'Monthly Raw Data'!$C$2-'Monthly Raw Data'!$C$1+1,1),OFFSET('Monthly Raw Data'!$B$4,'Monthly Raw Data'!$C$1,O$2,'Monthly Raw Data'!$C$2-'Monthly Raw Data'!$C$1+1,1))</f>
        <v>1</v>
      </c>
      <c r="P4" s="40">
        <f ca="1">CORREL(OFFSET('Monthly Raw Data'!$B$4,'Monthly Raw Data'!$C$1,$M4,'Monthly Raw Data'!$C$2-'Monthly Raw Data'!$C$1+1,1),OFFSET('Monthly Raw Data'!$B$4,'Monthly Raw Data'!$C$1,P$2,'Monthly Raw Data'!$C$2-'Monthly Raw Data'!$C$1+1,1))</f>
        <v>0.67877303569165548</v>
      </c>
      <c r="Q4" s="40">
        <f ca="1">CORREL(OFFSET('Monthly Raw Data'!$B$4,'Monthly Raw Data'!$C$1,$M4,'Monthly Raw Data'!$C$2-'Monthly Raw Data'!$C$1+1,1),OFFSET('Monthly Raw Data'!$B$4,'Monthly Raw Data'!$C$1,Q$2,'Monthly Raw Data'!$C$2-'Monthly Raw Data'!$C$1+1,1))</f>
        <v>0.73617537764059371</v>
      </c>
      <c r="R4" s="40">
        <f ca="1">CORREL(OFFSET('Monthly Raw Data'!$B$4,'Monthly Raw Data'!$C$1,$M4,'Monthly Raw Data'!$C$2-'Monthly Raw Data'!$C$1+1,1),OFFSET('Monthly Raw Data'!$B$4,'Monthly Raw Data'!$C$1,R$2,'Monthly Raw Data'!$C$2-'Monthly Raw Data'!$C$1+1,1))</f>
        <v>-2.1346964544145589E-2</v>
      </c>
      <c r="S4" s="40">
        <f ca="1">CORREL(OFFSET('Monthly Raw Data'!$B$4,'Monthly Raw Data'!$C$1,$M4,'Monthly Raw Data'!$C$2-'Monthly Raw Data'!$C$1+1,1),OFFSET('Monthly Raw Data'!$B$4,'Monthly Raw Data'!$C$1,S$2,'Monthly Raw Data'!$C$2-'Monthly Raw Data'!$C$1+1,1))</f>
        <v>4.7610621747576874E-3</v>
      </c>
      <c r="T4" s="40">
        <f ca="1">CORREL(OFFSET('Monthly Raw Data'!$B$4,'Monthly Raw Data'!$C$1,$M4,'Monthly Raw Data'!$C$2-'Monthly Raw Data'!$C$1+1,1),OFFSET('Monthly Raw Data'!$B$4,'Monthly Raw Data'!$C$1,T$2,'Monthly Raw Data'!$C$2-'Monthly Raw Data'!$C$1+1,1))</f>
        <v>0.62119649123074605</v>
      </c>
      <c r="U4" s="40">
        <f ca="1">CORREL(OFFSET('Monthly Raw Data'!$B$4,'Monthly Raw Data'!$C$1,$M4,'Monthly Raw Data'!$C$2-'Monthly Raw Data'!$C$1+1,1),OFFSET('Monthly Raw Data'!$B$4,'Monthly Raw Data'!$C$1,U$2,'Monthly Raw Data'!$C$2-'Monthly Raw Data'!$C$1+1,1))</f>
        <v>0.68121428656359206</v>
      </c>
      <c r="V4" s="41">
        <f ca="1">CORREL(OFFSET('Monthly Raw Data'!$B$4,'Monthly Raw Data'!$C$1,$M4,'Monthly Raw Data'!$C$2-'Monthly Raw Data'!$C$1+1,1),OFFSET('Monthly Raw Data'!$B$4,'Monthly Raw Data'!$C$1,V$2,'Monthly Raw Data'!$C$2-'Monthly Raw Data'!$C$1+1,1))</f>
        <v>-6.9252977269247146E-2</v>
      </c>
      <c r="X4" s="9" t="str">
        <f t="shared" ref="X4:X11" si="6">N4</f>
        <v>AEQ</v>
      </c>
      <c r="Y4" s="48">
        <f>G4</f>
        <v>0.14000000000000001</v>
      </c>
      <c r="Z4" s="49">
        <v>0</v>
      </c>
      <c r="AA4" s="49">
        <v>0</v>
      </c>
      <c r="AB4" s="49">
        <v>0</v>
      </c>
      <c r="AC4" s="49">
        <v>0</v>
      </c>
      <c r="AD4" s="49">
        <v>0</v>
      </c>
      <c r="AE4" s="49">
        <v>0</v>
      </c>
      <c r="AF4" s="50">
        <v>0</v>
      </c>
    </row>
    <row r="5" spans="1:37" ht="13.5" customHeight="1" x14ac:dyDescent="0.2">
      <c r="A5" s="182">
        <v>3</v>
      </c>
      <c r="B5" s="138" t="str">
        <f t="shared" ca="1" si="0"/>
        <v>Int'l Listed Equity (Unhedged) [G]</v>
      </c>
      <c r="C5" s="117">
        <f>VLOOKUP(A5,'Monthly Raw Data'!$AM$7:$AO$16,3,TRUE)</f>
        <v>1</v>
      </c>
      <c r="D5" s="117" t="str">
        <f>VLOOKUP(A5,'Monthly Raw Data'!$AM$7:$AN$16,2,TRUE)</f>
        <v>ILE</v>
      </c>
      <c r="E5" s="162">
        <f t="shared" si="1"/>
        <v>9.5000000000000001E-2</v>
      </c>
      <c r="F5" s="163">
        <f>E5*(1-VLOOKUP(A5,'Cost and Fees'!$A$8:$D$17,4))-VLOOKUP(A5,'Cost and Fees'!$A$8:$D$17,3)</f>
        <v>8.9499999999999996E-2</v>
      </c>
      <c r="G5" s="8">
        <f t="shared" si="2"/>
        <v>0.16</v>
      </c>
      <c r="H5" s="194">
        <f t="shared" si="3"/>
        <v>0.55937499999999996</v>
      </c>
      <c r="I5" s="169">
        <v>0.1</v>
      </c>
      <c r="J5" s="170">
        <v>0.45</v>
      </c>
      <c r="M5" s="3">
        <f t="shared" si="4"/>
        <v>3</v>
      </c>
      <c r="N5" s="11" t="str">
        <f t="shared" si="5"/>
        <v>ILE</v>
      </c>
      <c r="O5" s="42">
        <f ca="1">CORREL(OFFSET('Monthly Raw Data'!$B$4,'Monthly Raw Data'!$C$1,$M5,'Monthly Raw Data'!$C$2-'Monthly Raw Data'!$C$1+1,1),OFFSET('Monthly Raw Data'!$B$4,'Monthly Raw Data'!$C$1,O$2,'Monthly Raw Data'!$C$2-'Monthly Raw Data'!$C$1+1,1))</f>
        <v>0.67877303569165548</v>
      </c>
      <c r="P5" s="43">
        <f ca="1">CORREL(OFFSET('Monthly Raw Data'!$B$4,'Monthly Raw Data'!$C$1,$M5,'Monthly Raw Data'!$C$2-'Monthly Raw Data'!$C$1+1,1),OFFSET('Monthly Raw Data'!$B$4,'Monthly Raw Data'!$C$1,P$2,'Monthly Raw Data'!$C$2-'Monthly Raw Data'!$C$1+1,1))</f>
        <v>1</v>
      </c>
      <c r="Q5" s="43">
        <f ca="1">CORREL(OFFSET('Monthly Raw Data'!$B$4,'Monthly Raw Data'!$C$1,$M5,'Monthly Raw Data'!$C$2-'Monthly Raw Data'!$C$1+1,1),OFFSET('Monthly Raw Data'!$B$4,'Monthly Raw Data'!$C$1,Q$2,'Monthly Raw Data'!$C$2-'Monthly Raw Data'!$C$1+1,1))</f>
        <v>0.38427416477249826</v>
      </c>
      <c r="R5" s="43">
        <f ca="1">CORREL(OFFSET('Monthly Raw Data'!$B$4,'Monthly Raw Data'!$C$1,$M5,'Monthly Raw Data'!$C$2-'Monthly Raw Data'!$C$1+1,1),OFFSET('Monthly Raw Data'!$B$4,'Monthly Raw Data'!$C$1,R$2,'Monthly Raw Data'!$C$2-'Monthly Raw Data'!$C$1+1,1))</f>
        <v>-0.15423283295821649</v>
      </c>
      <c r="S5" s="43">
        <f ca="1">CORREL(OFFSET('Monthly Raw Data'!$B$4,'Monthly Raw Data'!$C$1,$M5,'Monthly Raw Data'!$C$2-'Monthly Raw Data'!$C$1+1,1),OFFSET('Monthly Raw Data'!$B$4,'Monthly Raw Data'!$C$1,S$2,'Monthly Raw Data'!$C$2-'Monthly Raw Data'!$C$1+1,1))</f>
        <v>-6.4577752151584247E-2</v>
      </c>
      <c r="T5" s="43">
        <f ca="1">CORREL(OFFSET('Monthly Raw Data'!$B$4,'Monthly Raw Data'!$C$1,$M5,'Monthly Raw Data'!$C$2-'Monthly Raw Data'!$C$1+1,1),OFFSET('Monthly Raw Data'!$B$4,'Monthly Raw Data'!$C$1,T$2,'Monthly Raw Data'!$C$2-'Monthly Raw Data'!$C$1+1,1))</f>
        <v>0.43036925278228755</v>
      </c>
      <c r="U5" s="43">
        <f ca="1">CORREL(OFFSET('Monthly Raw Data'!$B$4,'Monthly Raw Data'!$C$1,$M5,'Monthly Raw Data'!$C$2-'Monthly Raw Data'!$C$1+1,1),OFFSET('Monthly Raw Data'!$B$4,'Monthly Raw Data'!$C$1,U$2,'Monthly Raw Data'!$C$2-'Monthly Raw Data'!$C$1+1,1))</f>
        <v>0.70842552516094237</v>
      </c>
      <c r="V5" s="44">
        <f ca="1">CORREL(OFFSET('Monthly Raw Data'!$B$4,'Monthly Raw Data'!$C$1,$M5,'Monthly Raw Data'!$C$2-'Monthly Raw Data'!$C$1+1,1),OFFSET('Monthly Raw Data'!$B$4,'Monthly Raw Data'!$C$1,V$2,'Monthly Raw Data'!$C$2-'Monthly Raw Data'!$C$1+1,1))</f>
        <v>-3.0365829430887628E-2</v>
      </c>
      <c r="X5" s="11" t="str">
        <f t="shared" si="6"/>
        <v>ILE</v>
      </c>
      <c r="Y5" s="51">
        <v>0</v>
      </c>
      <c r="Z5" s="37">
        <f>G5</f>
        <v>0.16</v>
      </c>
      <c r="AA5" s="37">
        <v>0</v>
      </c>
      <c r="AB5" s="37">
        <v>0</v>
      </c>
      <c r="AC5" s="37">
        <v>0</v>
      </c>
      <c r="AD5" s="37">
        <v>0</v>
      </c>
      <c r="AE5" s="37">
        <v>0</v>
      </c>
      <c r="AF5" s="52">
        <v>0</v>
      </c>
    </row>
    <row r="6" spans="1:37" ht="13.5" customHeight="1" x14ac:dyDescent="0.2">
      <c r="A6" s="182">
        <v>4</v>
      </c>
      <c r="B6" s="138" t="str">
        <f t="shared" ca="1" si="0"/>
        <v>Australian Listed Property [G]</v>
      </c>
      <c r="C6" s="117">
        <f>VLOOKUP(A6,'Monthly Raw Data'!$AM$7:$AO$16,3,TRUE)</f>
        <v>1</v>
      </c>
      <c r="D6" s="117" t="str">
        <f>VLOOKUP(A6,'Monthly Raw Data'!$AM$7:$AN$16,2,TRUE)</f>
        <v>ALP</v>
      </c>
      <c r="E6" s="162">
        <f t="shared" si="1"/>
        <v>8.5000000000000006E-2</v>
      </c>
      <c r="F6" s="163">
        <f>E6*(1-VLOOKUP(A6,'Cost and Fees'!$A$8:$D$17,4))-VLOOKUP(A6,'Cost and Fees'!$A$8:$D$17,3)</f>
        <v>6.8099999999999994E-2</v>
      </c>
      <c r="G6" s="8">
        <f t="shared" si="2"/>
        <v>0.15</v>
      </c>
      <c r="H6" s="194">
        <f t="shared" si="3"/>
        <v>0.45399999999999996</v>
      </c>
      <c r="I6" s="169">
        <v>0</v>
      </c>
      <c r="J6" s="170">
        <v>0.1</v>
      </c>
      <c r="M6" s="3">
        <f t="shared" si="4"/>
        <v>4</v>
      </c>
      <c r="N6" s="9" t="str">
        <f t="shared" si="5"/>
        <v>ALP</v>
      </c>
      <c r="O6" s="42">
        <f ca="1">CORREL(OFFSET('Monthly Raw Data'!$B$4,'Monthly Raw Data'!$C$1,$M6,'Monthly Raw Data'!$C$2-'Monthly Raw Data'!$C$1+1,1),OFFSET('Monthly Raw Data'!$B$4,'Monthly Raw Data'!$C$1,O$2,'Monthly Raw Data'!$C$2-'Monthly Raw Data'!$C$1+1,1))</f>
        <v>0.73617537764059371</v>
      </c>
      <c r="P6" s="43">
        <f ca="1">CORREL(OFFSET('Monthly Raw Data'!$B$4,'Monthly Raw Data'!$C$1,$M6,'Monthly Raw Data'!$C$2-'Monthly Raw Data'!$C$1+1,1),OFFSET('Monthly Raw Data'!$B$4,'Monthly Raw Data'!$C$1,P$2,'Monthly Raw Data'!$C$2-'Monthly Raw Data'!$C$1+1,1))</f>
        <v>0.38427416477249826</v>
      </c>
      <c r="Q6" s="43">
        <f ca="1">CORREL(OFFSET('Monthly Raw Data'!$B$4,'Monthly Raw Data'!$C$1,$M6,'Monthly Raw Data'!$C$2-'Monthly Raw Data'!$C$1+1,1),OFFSET('Monthly Raw Data'!$B$4,'Monthly Raw Data'!$C$1,Q$2,'Monthly Raw Data'!$C$2-'Monthly Raw Data'!$C$1+1,1))</f>
        <v>1.0000000000000002</v>
      </c>
      <c r="R6" s="43">
        <f ca="1">CORREL(OFFSET('Monthly Raw Data'!$B$4,'Monthly Raw Data'!$C$1,$M6,'Monthly Raw Data'!$C$2-'Monthly Raw Data'!$C$1+1,1),OFFSET('Monthly Raw Data'!$B$4,'Monthly Raw Data'!$C$1,R$2,'Monthly Raw Data'!$C$2-'Monthly Raw Data'!$C$1+1,1))</f>
        <v>0.2004237024727446</v>
      </c>
      <c r="S6" s="43">
        <f ca="1">CORREL(OFFSET('Monthly Raw Data'!$B$4,'Monthly Raw Data'!$C$1,$M6,'Monthly Raw Data'!$C$2-'Monthly Raw Data'!$C$1+1,1),OFFSET('Monthly Raw Data'!$B$4,'Monthly Raw Data'!$C$1,S$2,'Monthly Raw Data'!$C$2-'Monthly Raw Data'!$C$1+1,1))</f>
        <v>0.19967806489135273</v>
      </c>
      <c r="T6" s="43">
        <f ca="1">CORREL(OFFSET('Monthly Raw Data'!$B$4,'Monthly Raw Data'!$C$1,$M6,'Monthly Raw Data'!$C$2-'Monthly Raw Data'!$C$1+1,1),OFFSET('Monthly Raw Data'!$B$4,'Monthly Raw Data'!$C$1,T$2,'Monthly Raw Data'!$C$2-'Monthly Raw Data'!$C$1+1,1))</f>
        <v>0.60623336996307764</v>
      </c>
      <c r="U6" s="43">
        <f ca="1">CORREL(OFFSET('Monthly Raw Data'!$B$4,'Monthly Raw Data'!$C$1,$M6,'Monthly Raw Data'!$C$2-'Monthly Raw Data'!$C$1+1,1),OFFSET('Monthly Raw Data'!$B$4,'Monthly Raw Data'!$C$1,U$2,'Monthly Raw Data'!$C$2-'Monthly Raw Data'!$C$1+1,1))</f>
        <v>0.46990157117841275</v>
      </c>
      <c r="V6" s="44">
        <f ca="1">CORREL(OFFSET('Monthly Raw Data'!$B$4,'Monthly Raw Data'!$C$1,$M6,'Monthly Raw Data'!$C$2-'Monthly Raw Data'!$C$1+1,1),OFFSET('Monthly Raw Data'!$B$4,'Monthly Raw Data'!$C$1,V$2,'Monthly Raw Data'!$C$2-'Monthly Raw Data'!$C$1+1,1))</f>
        <v>-7.3074539356904597E-2</v>
      </c>
      <c r="X6" s="9" t="str">
        <f t="shared" si="6"/>
        <v>ALP</v>
      </c>
      <c r="Y6" s="51">
        <v>0</v>
      </c>
      <c r="Z6" s="37">
        <v>0</v>
      </c>
      <c r="AA6" s="37">
        <f>G6</f>
        <v>0.15</v>
      </c>
      <c r="AB6" s="37">
        <v>0</v>
      </c>
      <c r="AC6" s="37">
        <v>0</v>
      </c>
      <c r="AD6" s="37">
        <v>0</v>
      </c>
      <c r="AE6" s="37">
        <v>0</v>
      </c>
      <c r="AF6" s="52">
        <v>0</v>
      </c>
    </row>
    <row r="7" spans="1:37" ht="13.5" customHeight="1" x14ac:dyDescent="0.2">
      <c r="A7" s="182">
        <v>7</v>
      </c>
      <c r="B7" s="138" t="str">
        <f t="shared" ca="1" si="0"/>
        <v>Australian Fixed Income [D]</v>
      </c>
      <c r="C7" s="117">
        <f>VLOOKUP(A7,'Monthly Raw Data'!$AM$7:$AO$16,3,TRUE)</f>
        <v>0</v>
      </c>
      <c r="D7" s="117" t="str">
        <f>VLOOKUP(A7,'Monthly Raw Data'!$AM$7:$AN$16,2,TRUE)</f>
        <v>AFI</v>
      </c>
      <c r="E7" s="162">
        <f t="shared" si="1"/>
        <v>0.05</v>
      </c>
      <c r="F7" s="163">
        <f>E7*(1-VLOOKUP(A7,'Cost and Fees'!$A$8:$D$17,4))-VLOOKUP(A7,'Cost and Fees'!$A$8:$D$17,3)</f>
        <v>4.0500000000000001E-2</v>
      </c>
      <c r="G7" s="8">
        <f t="shared" si="2"/>
        <v>3.5000000000000003E-2</v>
      </c>
      <c r="H7" s="194">
        <f t="shared" si="3"/>
        <v>1.157142857142857</v>
      </c>
      <c r="I7" s="169">
        <v>0.05</v>
      </c>
      <c r="J7" s="170">
        <v>0.3</v>
      </c>
      <c r="M7" s="3">
        <f t="shared" si="4"/>
        <v>7</v>
      </c>
      <c r="N7" s="13" t="str">
        <f t="shared" si="5"/>
        <v>AFI</v>
      </c>
      <c r="O7" s="42">
        <f ca="1">CORREL(OFFSET('Monthly Raw Data'!$B$4,'Monthly Raw Data'!$C$1,$M7,'Monthly Raw Data'!$C$2-'Monthly Raw Data'!$C$1+1,1),OFFSET('Monthly Raw Data'!$B$4,'Monthly Raw Data'!$C$1,O$2,'Monthly Raw Data'!$C$2-'Monthly Raw Data'!$C$1+1,1))</f>
        <v>-2.1346964544145589E-2</v>
      </c>
      <c r="P7" s="43">
        <f ca="1">CORREL(OFFSET('Monthly Raw Data'!$B$4,'Monthly Raw Data'!$C$1,$M7,'Monthly Raw Data'!$C$2-'Monthly Raw Data'!$C$1+1,1),OFFSET('Monthly Raw Data'!$B$4,'Monthly Raw Data'!$C$1,P$2,'Monthly Raw Data'!$C$2-'Monthly Raw Data'!$C$1+1,1))</f>
        <v>-0.15423283295821649</v>
      </c>
      <c r="Q7" s="43">
        <f ca="1">CORREL(OFFSET('Monthly Raw Data'!$B$4,'Monthly Raw Data'!$C$1,$M7,'Monthly Raw Data'!$C$2-'Monthly Raw Data'!$C$1+1,1),OFFSET('Monthly Raw Data'!$B$4,'Monthly Raw Data'!$C$1,Q$2,'Monthly Raw Data'!$C$2-'Monthly Raw Data'!$C$1+1,1))</f>
        <v>0.2004237024727446</v>
      </c>
      <c r="R7" s="43">
        <f ca="1">CORREL(OFFSET('Monthly Raw Data'!$B$4,'Monthly Raw Data'!$C$1,$M7,'Monthly Raw Data'!$C$2-'Monthly Raw Data'!$C$1+1,1),OFFSET('Monthly Raw Data'!$B$4,'Monthly Raw Data'!$C$1,R$2,'Monthly Raw Data'!$C$2-'Monthly Raw Data'!$C$1+1,1))</f>
        <v>1.0000000000000002</v>
      </c>
      <c r="S7" s="43">
        <f ca="1">CORREL(OFFSET('Monthly Raw Data'!$B$4,'Monthly Raw Data'!$C$1,$M7,'Monthly Raw Data'!$C$2-'Monthly Raw Data'!$C$1+1,1),OFFSET('Monthly Raw Data'!$B$4,'Monthly Raw Data'!$C$1,S$2,'Monthly Raw Data'!$C$2-'Monthly Raw Data'!$C$1+1,1))</f>
        <v>0.78293662465592129</v>
      </c>
      <c r="T7" s="43">
        <f ca="1">CORREL(OFFSET('Monthly Raw Data'!$B$4,'Monthly Raw Data'!$C$1,$M7,'Monthly Raw Data'!$C$2-'Monthly Raw Data'!$C$1+1,1),OFFSET('Monthly Raw Data'!$B$4,'Monthly Raw Data'!$C$1,T$2,'Monthly Raw Data'!$C$2-'Monthly Raw Data'!$C$1+1,1))</f>
        <v>0.11254413831695226</v>
      </c>
      <c r="U7" s="43">
        <f ca="1">CORREL(OFFSET('Monthly Raw Data'!$B$4,'Monthly Raw Data'!$C$1,$M7,'Monthly Raw Data'!$C$2-'Monthly Raw Data'!$C$1+1,1),OFFSET('Monthly Raw Data'!$B$4,'Monthly Raw Data'!$C$1,U$2,'Monthly Raw Data'!$C$2-'Monthly Raw Data'!$C$1+1,1))</f>
        <v>-0.18732234639896414</v>
      </c>
      <c r="V7" s="44">
        <f ca="1">CORREL(OFFSET('Monthly Raw Data'!$B$4,'Monthly Raw Data'!$C$1,$M7,'Monthly Raw Data'!$C$2-'Monthly Raw Data'!$C$1+1,1),OFFSET('Monthly Raw Data'!$B$4,'Monthly Raw Data'!$C$1,V$2,'Monthly Raw Data'!$C$2-'Monthly Raw Data'!$C$1+1,1))</f>
        <v>0.24201292291960927</v>
      </c>
      <c r="X7" s="13" t="str">
        <f t="shared" si="6"/>
        <v>AFI</v>
      </c>
      <c r="Y7" s="51">
        <v>0</v>
      </c>
      <c r="Z7" s="37">
        <v>0</v>
      </c>
      <c r="AA7" s="37">
        <v>0</v>
      </c>
      <c r="AB7" s="37">
        <f>G7</f>
        <v>3.5000000000000003E-2</v>
      </c>
      <c r="AC7" s="37">
        <v>0</v>
      </c>
      <c r="AD7" s="37">
        <v>0</v>
      </c>
      <c r="AE7" s="37">
        <v>0</v>
      </c>
      <c r="AF7" s="52">
        <v>0</v>
      </c>
    </row>
    <row r="8" spans="1:37" ht="13.5" customHeight="1" x14ac:dyDescent="0.2">
      <c r="A8" s="182">
        <v>8</v>
      </c>
      <c r="B8" s="138" t="str">
        <f t="shared" ca="1" si="0"/>
        <v>Int'l Fixed Income (Hedged) [D]</v>
      </c>
      <c r="C8" s="117">
        <f>VLOOKUP(A8,'Monthly Raw Data'!$AM$7:$AO$16,3,TRUE)</f>
        <v>0</v>
      </c>
      <c r="D8" s="117" t="str">
        <f>VLOOKUP(A8,'Monthly Raw Data'!$AM$7:$AN$16,2,TRUE)</f>
        <v>IFI</v>
      </c>
      <c r="E8" s="162">
        <f t="shared" si="1"/>
        <v>0.05</v>
      </c>
      <c r="F8" s="163">
        <f>E8*(1-VLOOKUP(A8,'Cost and Fees'!$A$8:$D$17,4))-VLOOKUP(A8,'Cost and Fees'!$A$8:$D$17,3)</f>
        <v>4.0300000000000002E-2</v>
      </c>
      <c r="G8" s="8">
        <f t="shared" si="2"/>
        <v>0.03</v>
      </c>
      <c r="H8" s="194">
        <f t="shared" si="3"/>
        <v>1.3433333333333335</v>
      </c>
      <c r="I8" s="169">
        <v>0</v>
      </c>
      <c r="J8" s="170">
        <v>0.2</v>
      </c>
      <c r="M8" s="3">
        <f t="shared" si="4"/>
        <v>8</v>
      </c>
      <c r="N8" s="11" t="str">
        <f t="shared" si="5"/>
        <v>IFI</v>
      </c>
      <c r="O8" s="42">
        <f ca="1">CORREL(OFFSET('Monthly Raw Data'!$B$4,'Monthly Raw Data'!$C$1,$M8,'Monthly Raw Data'!$C$2-'Monthly Raw Data'!$C$1+1,1),OFFSET('Monthly Raw Data'!$B$4,'Monthly Raw Data'!$C$1,O$2,'Monthly Raw Data'!$C$2-'Monthly Raw Data'!$C$1+1,1))</f>
        <v>4.7610621747576874E-3</v>
      </c>
      <c r="P8" s="43">
        <f ca="1">CORREL(OFFSET('Monthly Raw Data'!$B$4,'Monthly Raw Data'!$C$1,$M8,'Monthly Raw Data'!$C$2-'Monthly Raw Data'!$C$1+1,1),OFFSET('Monthly Raw Data'!$B$4,'Monthly Raw Data'!$C$1,P$2,'Monthly Raw Data'!$C$2-'Monthly Raw Data'!$C$1+1,1))</f>
        <v>-6.4577752151584247E-2</v>
      </c>
      <c r="Q8" s="43">
        <f ca="1">CORREL(OFFSET('Monthly Raw Data'!$B$4,'Monthly Raw Data'!$C$1,$M8,'Monthly Raw Data'!$C$2-'Monthly Raw Data'!$C$1+1,1),OFFSET('Monthly Raw Data'!$B$4,'Monthly Raw Data'!$C$1,Q$2,'Monthly Raw Data'!$C$2-'Monthly Raw Data'!$C$1+1,1))</f>
        <v>0.19967806489135273</v>
      </c>
      <c r="R8" s="43">
        <f ca="1">CORREL(OFFSET('Monthly Raw Data'!$B$4,'Monthly Raw Data'!$C$1,$M8,'Monthly Raw Data'!$C$2-'Monthly Raw Data'!$C$1+1,1),OFFSET('Monthly Raw Data'!$B$4,'Monthly Raw Data'!$C$1,R$2,'Monthly Raw Data'!$C$2-'Monthly Raw Data'!$C$1+1,1))</f>
        <v>0.78293662465592129</v>
      </c>
      <c r="S8" s="43">
        <f ca="1">CORREL(OFFSET('Monthly Raw Data'!$B$4,'Monthly Raw Data'!$C$1,$M8,'Monthly Raw Data'!$C$2-'Monthly Raw Data'!$C$1+1,1),OFFSET('Monthly Raw Data'!$B$4,'Monthly Raw Data'!$C$1,S$2,'Monthly Raw Data'!$C$2-'Monthly Raw Data'!$C$1+1,1))</f>
        <v>1</v>
      </c>
      <c r="T8" s="43">
        <f ca="1">CORREL(OFFSET('Monthly Raw Data'!$B$4,'Monthly Raw Data'!$C$1,$M8,'Monthly Raw Data'!$C$2-'Monthly Raw Data'!$C$1+1,1),OFFSET('Monthly Raw Data'!$B$4,'Monthly Raw Data'!$C$1,T$2,'Monthly Raw Data'!$C$2-'Monthly Raw Data'!$C$1+1,1))</f>
        <v>0.21753433037480177</v>
      </c>
      <c r="U8" s="43">
        <f ca="1">CORREL(OFFSET('Monthly Raw Data'!$B$4,'Monthly Raw Data'!$C$1,$M8,'Monthly Raw Data'!$C$2-'Monthly Raw Data'!$C$1+1,1),OFFSET('Monthly Raw Data'!$B$4,'Monthly Raw Data'!$C$1,U$2,'Monthly Raw Data'!$C$2-'Monthly Raw Data'!$C$1+1,1))</f>
        <v>-0.12160023959787165</v>
      </c>
      <c r="V8" s="44">
        <f ca="1">CORREL(OFFSET('Monthly Raw Data'!$B$4,'Monthly Raw Data'!$C$1,$M8,'Monthly Raw Data'!$C$2-'Monthly Raw Data'!$C$1+1,1),OFFSET('Monthly Raw Data'!$B$4,'Monthly Raw Data'!$C$1,V$2,'Monthly Raw Data'!$C$2-'Monthly Raw Data'!$C$1+1,1))</f>
        <v>0.25704109284664917</v>
      </c>
      <c r="X8" s="11" t="str">
        <f t="shared" si="6"/>
        <v>IFI</v>
      </c>
      <c r="Y8" s="51">
        <v>0</v>
      </c>
      <c r="Z8" s="37">
        <v>0</v>
      </c>
      <c r="AA8" s="37">
        <v>0</v>
      </c>
      <c r="AB8" s="37">
        <v>0</v>
      </c>
      <c r="AC8" s="37">
        <f>G8</f>
        <v>0.03</v>
      </c>
      <c r="AD8" s="37">
        <v>0</v>
      </c>
      <c r="AE8" s="37">
        <v>0</v>
      </c>
      <c r="AF8" s="52">
        <v>0</v>
      </c>
    </row>
    <row r="9" spans="1:37" ht="13.5" customHeight="1" x14ac:dyDescent="0.2">
      <c r="A9" s="182">
        <v>5</v>
      </c>
      <c r="B9" s="138" t="str">
        <f t="shared" ca="1" si="0"/>
        <v>Int'l Listed Property [G]</v>
      </c>
      <c r="C9" s="117">
        <f>VLOOKUP(A9,'Monthly Raw Data'!$AM$7:$AO$16,3,TRUE)</f>
        <v>1</v>
      </c>
      <c r="D9" s="117" t="str">
        <f>VLOOKUP(A9,'Monthly Raw Data'!$AM$7:$AN$16,2,TRUE)</f>
        <v>ILP</v>
      </c>
      <c r="E9" s="162">
        <f t="shared" si="1"/>
        <v>0.08</v>
      </c>
      <c r="F9" s="163">
        <f>E9*(1-VLOOKUP(A9,'Cost and Fees'!$A$8:$D$17,4))-VLOOKUP(A9,'Cost and Fees'!$A$8:$D$17,3)</f>
        <v>7.3499999999999996E-2</v>
      </c>
      <c r="G9" s="8">
        <f t="shared" si="2"/>
        <v>0.12</v>
      </c>
      <c r="H9" s="194">
        <f t="shared" si="3"/>
        <v>0.61249999999999993</v>
      </c>
      <c r="I9" s="169">
        <v>0</v>
      </c>
      <c r="J9" s="170">
        <v>9.9999999999999995E-7</v>
      </c>
      <c r="M9" s="3">
        <f t="shared" si="4"/>
        <v>5</v>
      </c>
      <c r="N9" s="11" t="str">
        <f t="shared" ref="N9:N10" si="7">D9</f>
        <v>ILP</v>
      </c>
      <c r="O9" s="42">
        <f ca="1">CORREL(OFFSET('Monthly Raw Data'!$B$4,'Monthly Raw Data'!$C$1,$M9,'Monthly Raw Data'!$C$2-'Monthly Raw Data'!$C$1+1,1),OFFSET('Monthly Raw Data'!$B$4,'Monthly Raw Data'!$C$1,O$2,'Monthly Raw Data'!$C$2-'Monthly Raw Data'!$C$1+1,1))</f>
        <v>0.62119649123074605</v>
      </c>
      <c r="P9" s="43">
        <f ca="1">CORREL(OFFSET('Monthly Raw Data'!$B$4,'Monthly Raw Data'!$C$1,$M9,'Monthly Raw Data'!$C$2-'Monthly Raw Data'!$C$1+1,1),OFFSET('Monthly Raw Data'!$B$4,'Monthly Raw Data'!$C$1,P$2,'Monthly Raw Data'!$C$2-'Monthly Raw Data'!$C$1+1,1))</f>
        <v>0.43036925278228755</v>
      </c>
      <c r="Q9" s="43">
        <f ca="1">CORREL(OFFSET('Monthly Raw Data'!$B$4,'Monthly Raw Data'!$C$1,$M9,'Monthly Raw Data'!$C$2-'Monthly Raw Data'!$C$1+1,1),OFFSET('Monthly Raw Data'!$B$4,'Monthly Raw Data'!$C$1,Q$2,'Monthly Raw Data'!$C$2-'Monthly Raw Data'!$C$1+1,1))</f>
        <v>0.60623336996307764</v>
      </c>
      <c r="R9" s="43">
        <f ca="1">CORREL(OFFSET('Monthly Raw Data'!$B$4,'Monthly Raw Data'!$C$1,$M9,'Monthly Raw Data'!$C$2-'Monthly Raw Data'!$C$1+1,1),OFFSET('Monthly Raw Data'!$B$4,'Monthly Raw Data'!$C$1,R$2,'Monthly Raw Data'!$C$2-'Monthly Raw Data'!$C$1+1,1))</f>
        <v>0.11254413831695226</v>
      </c>
      <c r="S9" s="43">
        <f ca="1">CORREL(OFFSET('Monthly Raw Data'!$B$4,'Monthly Raw Data'!$C$1,$M9,'Monthly Raw Data'!$C$2-'Monthly Raw Data'!$C$1+1,1),OFFSET('Monthly Raw Data'!$B$4,'Monthly Raw Data'!$C$1,S$2,'Monthly Raw Data'!$C$2-'Monthly Raw Data'!$C$1+1,1))</f>
        <v>0.21753433037480177</v>
      </c>
      <c r="T9" s="43">
        <f ca="1">CORREL(OFFSET('Monthly Raw Data'!$B$4,'Monthly Raw Data'!$C$1,$M9,'Monthly Raw Data'!$C$2-'Monthly Raw Data'!$C$1+1,1),OFFSET('Monthly Raw Data'!$B$4,'Monthly Raw Data'!$C$1,T$2,'Monthly Raw Data'!$C$2-'Monthly Raw Data'!$C$1+1,1))</f>
        <v>0.99999999999999989</v>
      </c>
      <c r="U9" s="43">
        <f ca="1">CORREL(OFFSET('Monthly Raw Data'!$B$4,'Monthly Raw Data'!$C$1,$M9,'Monthly Raw Data'!$C$2-'Monthly Raw Data'!$C$1+1,1),OFFSET('Monthly Raw Data'!$B$4,'Monthly Raw Data'!$C$1,U$2,'Monthly Raw Data'!$C$2-'Monthly Raw Data'!$C$1+1,1))</f>
        <v>0.53272458023310354</v>
      </c>
      <c r="V9" s="44">
        <f ca="1">CORREL(OFFSET('Monthly Raw Data'!$B$4,'Monthly Raw Data'!$C$1,$M9,'Monthly Raw Data'!$C$2-'Monthly Raw Data'!$C$1+1,1),OFFSET('Monthly Raw Data'!$B$4,'Monthly Raw Data'!$C$1,V$2,'Monthly Raw Data'!$C$2-'Monthly Raw Data'!$C$1+1,1))</f>
        <v>-7.2018262518701942E-2</v>
      </c>
      <c r="X9" s="11" t="str">
        <f t="shared" si="6"/>
        <v>ILP</v>
      </c>
      <c r="Y9" s="51">
        <v>0</v>
      </c>
      <c r="Z9" s="37">
        <v>0</v>
      </c>
      <c r="AA9" s="37">
        <v>0</v>
      </c>
      <c r="AB9" s="37">
        <v>0</v>
      </c>
      <c r="AC9" s="37">
        <v>0</v>
      </c>
      <c r="AD9" s="37">
        <f>G9</f>
        <v>0.12</v>
      </c>
      <c r="AE9" s="37">
        <v>0</v>
      </c>
      <c r="AF9" s="52">
        <v>0</v>
      </c>
    </row>
    <row r="10" spans="1:37" ht="13.5" customHeight="1" x14ac:dyDescent="0.2">
      <c r="A10" s="182">
        <v>6</v>
      </c>
      <c r="B10" s="138" t="str">
        <f t="shared" ca="1" si="0"/>
        <v>Int'l Listed Infrastructure [G]</v>
      </c>
      <c r="C10" s="117">
        <f>VLOOKUP(A10,'Monthly Raw Data'!$AM$7:$AO$16,3,TRUE)</f>
        <v>1</v>
      </c>
      <c r="D10" s="117" t="str">
        <f>VLOOKUP(A10,'Monthly Raw Data'!$AM$7:$AN$16,2,TRUE)</f>
        <v>ILI</v>
      </c>
      <c r="E10" s="162">
        <f t="shared" si="1"/>
        <v>4.9607870740213222E-2</v>
      </c>
      <c r="F10" s="163">
        <f>E10*(1-VLOOKUP(A10,'Cost and Fees'!$A$8:$D$17,4))-VLOOKUP(A10,'Cost and Fees'!$A$8:$D$17,3)</f>
        <v>3.7607870740213226E-2</v>
      </c>
      <c r="G10" s="8">
        <f t="shared" si="2"/>
        <v>0.06</v>
      </c>
      <c r="H10" s="194">
        <f t="shared" si="3"/>
        <v>0.62679784567022045</v>
      </c>
      <c r="I10" s="169">
        <v>0</v>
      </c>
      <c r="J10" s="170">
        <v>9.9999999999999995E-7</v>
      </c>
      <c r="M10" s="3">
        <f t="shared" si="4"/>
        <v>6</v>
      </c>
      <c r="N10" s="11" t="str">
        <f t="shared" si="7"/>
        <v>ILI</v>
      </c>
      <c r="O10" s="42">
        <f ca="1">CORREL(OFFSET('Monthly Raw Data'!$B$4,'Monthly Raw Data'!$C$1,$M10,'Monthly Raw Data'!$C$2-'Monthly Raw Data'!$C$1+1,1),OFFSET('Monthly Raw Data'!$B$4,'Monthly Raw Data'!$C$1,O$2,'Monthly Raw Data'!$C$2-'Monthly Raw Data'!$C$1+1,1))</f>
        <v>0.68121428656359206</v>
      </c>
      <c r="P10" s="43">
        <f ca="1">CORREL(OFFSET('Monthly Raw Data'!$B$4,'Monthly Raw Data'!$C$1,$M10,'Monthly Raw Data'!$C$2-'Monthly Raw Data'!$C$1+1,1),OFFSET('Monthly Raw Data'!$B$4,'Monthly Raw Data'!$C$1,P$2,'Monthly Raw Data'!$C$2-'Monthly Raw Data'!$C$1+1,1))</f>
        <v>0.70842552516094237</v>
      </c>
      <c r="Q10" s="43">
        <f ca="1">CORREL(OFFSET('Monthly Raw Data'!$B$4,'Monthly Raw Data'!$C$1,$M10,'Monthly Raw Data'!$C$2-'Monthly Raw Data'!$C$1+1,1),OFFSET('Monthly Raw Data'!$B$4,'Monthly Raw Data'!$C$1,Q$2,'Monthly Raw Data'!$C$2-'Monthly Raw Data'!$C$1+1,1))</f>
        <v>0.46990157117841275</v>
      </c>
      <c r="R10" s="43">
        <f ca="1">CORREL(OFFSET('Monthly Raw Data'!$B$4,'Monthly Raw Data'!$C$1,$M10,'Monthly Raw Data'!$C$2-'Monthly Raw Data'!$C$1+1,1),OFFSET('Monthly Raw Data'!$B$4,'Monthly Raw Data'!$C$1,R$2,'Monthly Raw Data'!$C$2-'Monthly Raw Data'!$C$1+1,1))</f>
        <v>-0.18732234639896414</v>
      </c>
      <c r="S10" s="43">
        <f ca="1">CORREL(OFFSET('Monthly Raw Data'!$B$4,'Monthly Raw Data'!$C$1,$M10,'Monthly Raw Data'!$C$2-'Monthly Raw Data'!$C$1+1,1),OFFSET('Monthly Raw Data'!$B$4,'Monthly Raw Data'!$C$1,S$2,'Monthly Raw Data'!$C$2-'Monthly Raw Data'!$C$1+1,1))</f>
        <v>-0.12160023959787165</v>
      </c>
      <c r="T10" s="43">
        <f ca="1">CORREL(OFFSET('Monthly Raw Data'!$B$4,'Monthly Raw Data'!$C$1,$M10,'Monthly Raw Data'!$C$2-'Monthly Raw Data'!$C$1+1,1),OFFSET('Monthly Raw Data'!$B$4,'Monthly Raw Data'!$C$1,T$2,'Monthly Raw Data'!$C$2-'Monthly Raw Data'!$C$1+1,1))</f>
        <v>0.53272458023310354</v>
      </c>
      <c r="U10" s="43">
        <f ca="1">CORREL(OFFSET('Monthly Raw Data'!$B$4,'Monthly Raw Data'!$C$1,$M10,'Monthly Raw Data'!$C$2-'Monthly Raw Data'!$C$1+1,1),OFFSET('Monthly Raw Data'!$B$4,'Monthly Raw Data'!$C$1,U$2,'Monthly Raw Data'!$C$2-'Monthly Raw Data'!$C$1+1,1))</f>
        <v>1</v>
      </c>
      <c r="V10" s="44">
        <f ca="1">CORREL(OFFSET('Monthly Raw Data'!$B$4,'Monthly Raw Data'!$C$1,$M10,'Monthly Raw Data'!$C$2-'Monthly Raw Data'!$C$1+1,1),OFFSET('Monthly Raw Data'!$B$4,'Monthly Raw Data'!$C$1,V$2,'Monthly Raw Data'!$C$2-'Monthly Raw Data'!$C$1+1,1))</f>
        <v>-5.3069492703072318E-2</v>
      </c>
      <c r="X10" s="11" t="str">
        <f t="shared" si="6"/>
        <v>ILI</v>
      </c>
      <c r="Y10" s="51">
        <v>0</v>
      </c>
      <c r="Z10" s="37">
        <v>0</v>
      </c>
      <c r="AA10" s="37">
        <v>0</v>
      </c>
      <c r="AB10" s="37">
        <v>0</v>
      </c>
      <c r="AC10" s="37">
        <v>0</v>
      </c>
      <c r="AD10" s="37">
        <v>0</v>
      </c>
      <c r="AE10" s="37">
        <f>G10</f>
        <v>0.06</v>
      </c>
      <c r="AF10" s="52">
        <v>0</v>
      </c>
    </row>
    <row r="11" spans="1:37" ht="13.5" customHeight="1" x14ac:dyDescent="0.2">
      <c r="A11" s="154">
        <v>9</v>
      </c>
      <c r="B11" s="139" t="str">
        <f t="shared" ca="1" si="0"/>
        <v>Cash [D]</v>
      </c>
      <c r="C11" s="164">
        <f>VLOOKUP(A11,'Monthly Raw Data'!$AM$7:$AO$16,3,TRUE)</f>
        <v>0</v>
      </c>
      <c r="D11" s="164" t="str">
        <f>VLOOKUP(A11,'Monthly Raw Data'!$AM$7:$AN$16,2,TRUE)</f>
        <v>Cash</v>
      </c>
      <c r="E11" s="165">
        <f t="shared" si="1"/>
        <v>0.03</v>
      </c>
      <c r="F11" s="166">
        <f>E11*(1-VLOOKUP(A11,'Cost and Fees'!$A$8:$D$17,4))-VLOOKUP(A11,'Cost and Fees'!$A$8:$D$17,3)</f>
        <v>2.4999999999999998E-2</v>
      </c>
      <c r="G11" s="158">
        <f t="shared" si="2"/>
        <v>5.0000000000000001E-3</v>
      </c>
      <c r="H11" s="195">
        <f>F11/G11</f>
        <v>4.9999999999999991</v>
      </c>
      <c r="I11" s="171">
        <v>0.05</v>
      </c>
      <c r="J11" s="172">
        <v>0.25</v>
      </c>
      <c r="M11" s="3">
        <f t="shared" si="4"/>
        <v>9</v>
      </c>
      <c r="N11" s="15" t="str">
        <f t="shared" si="5"/>
        <v>Cash</v>
      </c>
      <c r="O11" s="45">
        <f ca="1">CORREL(OFFSET('Monthly Raw Data'!$B$4,'Monthly Raw Data'!$C$1,$M11,'Monthly Raw Data'!$C$2-'Monthly Raw Data'!$C$1+1,1),OFFSET('Monthly Raw Data'!$B$4,'Monthly Raw Data'!$C$1,O$2,'Monthly Raw Data'!$C$2-'Monthly Raw Data'!$C$1+1,1))</f>
        <v>-6.9252977269247146E-2</v>
      </c>
      <c r="P11" s="46">
        <f ca="1">CORREL(OFFSET('Monthly Raw Data'!$B$4,'Monthly Raw Data'!$C$1,$M11,'Monthly Raw Data'!$C$2-'Monthly Raw Data'!$C$1+1,1),OFFSET('Monthly Raw Data'!$B$4,'Monthly Raw Data'!$C$1,P$2,'Monthly Raw Data'!$C$2-'Monthly Raw Data'!$C$1+1,1))</f>
        <v>-3.0365829430887628E-2</v>
      </c>
      <c r="Q11" s="46">
        <f ca="1">CORREL(OFFSET('Monthly Raw Data'!$B$4,'Monthly Raw Data'!$C$1,$M11,'Monthly Raw Data'!$C$2-'Monthly Raw Data'!$C$1+1,1),OFFSET('Monthly Raw Data'!$B$4,'Monthly Raw Data'!$C$1,Q$2,'Monthly Raw Data'!$C$2-'Monthly Raw Data'!$C$1+1,1))</f>
        <v>-7.3074539356904597E-2</v>
      </c>
      <c r="R11" s="46">
        <f ca="1">CORREL(OFFSET('Monthly Raw Data'!$B$4,'Monthly Raw Data'!$C$1,$M11,'Monthly Raw Data'!$C$2-'Monthly Raw Data'!$C$1+1,1),OFFSET('Monthly Raw Data'!$B$4,'Monthly Raw Data'!$C$1,R$2,'Monthly Raw Data'!$C$2-'Monthly Raw Data'!$C$1+1,1))</f>
        <v>0.24201292291960927</v>
      </c>
      <c r="S11" s="46">
        <f ca="1">CORREL(OFFSET('Monthly Raw Data'!$B$4,'Monthly Raw Data'!$C$1,$M11,'Monthly Raw Data'!$C$2-'Monthly Raw Data'!$C$1+1,1),OFFSET('Monthly Raw Data'!$B$4,'Monthly Raw Data'!$C$1,S$2,'Monthly Raw Data'!$C$2-'Monthly Raw Data'!$C$1+1,1))</f>
        <v>0.25704109284664917</v>
      </c>
      <c r="T11" s="46">
        <f ca="1">CORREL(OFFSET('Monthly Raw Data'!$B$4,'Monthly Raw Data'!$C$1,$M11,'Monthly Raw Data'!$C$2-'Monthly Raw Data'!$C$1+1,1),OFFSET('Monthly Raw Data'!$B$4,'Monthly Raw Data'!$C$1,T$2,'Monthly Raw Data'!$C$2-'Monthly Raw Data'!$C$1+1,1))</f>
        <v>-7.2018262518701942E-2</v>
      </c>
      <c r="U11" s="46">
        <f ca="1">CORREL(OFFSET('Monthly Raw Data'!$B$4,'Monthly Raw Data'!$C$1,$M11,'Monthly Raw Data'!$C$2-'Monthly Raw Data'!$C$1+1,1),OFFSET('Monthly Raw Data'!$B$4,'Monthly Raw Data'!$C$1,U$2,'Monthly Raw Data'!$C$2-'Monthly Raw Data'!$C$1+1,1))</f>
        <v>-5.3069492703072318E-2</v>
      </c>
      <c r="V11" s="47">
        <f ca="1">CORREL(OFFSET('Monthly Raw Data'!$B$4,'Monthly Raw Data'!$C$1,$M11,'Monthly Raw Data'!$C$2-'Monthly Raw Data'!$C$1+1,1),OFFSET('Monthly Raw Data'!$B$4,'Monthly Raw Data'!$C$1,V$2,'Monthly Raw Data'!$C$2-'Monthly Raw Data'!$C$1+1,1))</f>
        <v>1</v>
      </c>
      <c r="X11" s="15" t="str">
        <f t="shared" si="6"/>
        <v>Cash</v>
      </c>
      <c r="Y11" s="53">
        <v>0</v>
      </c>
      <c r="Z11" s="54">
        <v>0</v>
      </c>
      <c r="AA11" s="54">
        <v>0</v>
      </c>
      <c r="AB11" s="54">
        <v>0</v>
      </c>
      <c r="AC11" s="54">
        <v>0</v>
      </c>
      <c r="AD11" s="54">
        <v>0</v>
      </c>
      <c r="AE11" s="54">
        <v>0</v>
      </c>
      <c r="AF11" s="38">
        <f>G11</f>
        <v>5.0000000000000001E-3</v>
      </c>
    </row>
    <row r="12" spans="1:37" ht="13.5" customHeight="1" x14ac:dyDescent="0.2">
      <c r="A12" s="106"/>
      <c r="I12" s="18"/>
    </row>
    <row r="13" spans="1:37" ht="13.5" customHeight="1" x14ac:dyDescent="0.2">
      <c r="A13" s="105"/>
    </row>
    <row r="14" spans="1:37" ht="24" x14ac:dyDescent="0.3">
      <c r="T14" s="16"/>
    </row>
    <row r="15" spans="1:37" x14ac:dyDescent="0.2">
      <c r="A15" s="183" t="s">
        <v>16</v>
      </c>
      <c r="AD15" s="8"/>
      <c r="AE15" s="8"/>
      <c r="AJ15" s="17"/>
      <c r="AK15" s="18"/>
    </row>
    <row r="16" spans="1:37" ht="16" x14ac:dyDescent="0.2">
      <c r="B16" s="72" t="s">
        <v>20</v>
      </c>
      <c r="C16" s="152">
        <v>0.03</v>
      </c>
      <c r="AD16" s="8"/>
      <c r="AE16" s="8"/>
    </row>
    <row r="17" spans="1:32" x14ac:dyDescent="0.2">
      <c r="B17" s="10" t="s">
        <v>17</v>
      </c>
      <c r="C17" s="153">
        <v>0.03</v>
      </c>
      <c r="AD17" s="8"/>
      <c r="AE17" s="8"/>
    </row>
    <row r="18" spans="1:32" x14ac:dyDescent="0.2">
      <c r="B18" s="12" t="s">
        <v>14</v>
      </c>
      <c r="C18" s="68">
        <f>C17+C16</f>
        <v>0.06</v>
      </c>
      <c r="AD18" s="8"/>
      <c r="AE18" s="8"/>
    </row>
    <row r="19" spans="1:32" ht="39" customHeight="1" x14ac:dyDescent="0.2">
      <c r="AD19" s="8"/>
      <c r="AE19" s="8"/>
    </row>
    <row r="20" spans="1:32" ht="98" customHeight="1" thickBot="1" x14ac:dyDescent="0.25">
      <c r="AD20" s="8"/>
      <c r="AE20" s="8"/>
    </row>
    <row r="21" spans="1:32" ht="16" thickBot="1" x14ac:dyDescent="0.25">
      <c r="C21" s="26"/>
      <c r="D21" s="221" t="s">
        <v>89</v>
      </c>
      <c r="E21" s="222"/>
      <c r="F21" s="222"/>
      <c r="G21" s="223"/>
      <c r="J21" s="77"/>
      <c r="K21" s="92" t="s">
        <v>43</v>
      </c>
      <c r="L21" s="93" t="s">
        <v>44</v>
      </c>
      <c r="M21" s="93" t="s">
        <v>45</v>
      </c>
      <c r="N21" s="93" t="s">
        <v>46</v>
      </c>
      <c r="O21" s="93" t="s">
        <v>47</v>
      </c>
      <c r="P21" s="93" t="s">
        <v>48</v>
      </c>
      <c r="Q21" s="93" t="s">
        <v>49</v>
      </c>
      <c r="R21" s="93" t="s">
        <v>50</v>
      </c>
      <c r="S21" s="93" t="s">
        <v>51</v>
      </c>
      <c r="T21" s="93" t="s">
        <v>52</v>
      </c>
      <c r="U21" s="93" t="s">
        <v>53</v>
      </c>
      <c r="V21" s="93" t="s">
        <v>54</v>
      </c>
      <c r="W21" s="94" t="s">
        <v>55</v>
      </c>
      <c r="AC21" s="19"/>
      <c r="AE21" s="8"/>
    </row>
    <row r="22" spans="1:32" ht="16" x14ac:dyDescent="0.2">
      <c r="C22" s="26"/>
      <c r="D22" s="173" t="s">
        <v>66</v>
      </c>
      <c r="E22" s="137" t="s">
        <v>8</v>
      </c>
      <c r="F22" s="156" t="s">
        <v>5</v>
      </c>
      <c r="G22" s="174" t="s">
        <v>10</v>
      </c>
      <c r="J22" s="95"/>
      <c r="K22" s="87" t="s">
        <v>7</v>
      </c>
      <c r="L22" s="96">
        <v>0.2</v>
      </c>
      <c r="M22" s="97">
        <f t="shared" ref="M22:V22" si="8">L22+($W$22-$L$22)/11</f>
        <v>0.27272727272727276</v>
      </c>
      <c r="N22" s="97">
        <f t="shared" si="8"/>
        <v>0.34545454545454551</v>
      </c>
      <c r="O22" s="97">
        <f t="shared" si="8"/>
        <v>0.41818181818181827</v>
      </c>
      <c r="P22" s="97">
        <f t="shared" si="8"/>
        <v>0.49090909090909102</v>
      </c>
      <c r="Q22" s="97">
        <f t="shared" si="8"/>
        <v>0.56363636363636371</v>
      </c>
      <c r="R22" s="97">
        <f t="shared" si="8"/>
        <v>0.63636363636363646</v>
      </c>
      <c r="S22" s="97">
        <f t="shared" si="8"/>
        <v>0.70909090909090922</v>
      </c>
      <c r="T22" s="97">
        <f t="shared" si="8"/>
        <v>0.78181818181818197</v>
      </c>
      <c r="U22" s="97">
        <f t="shared" si="8"/>
        <v>0.85454545454545472</v>
      </c>
      <c r="V22" s="97">
        <f t="shared" si="8"/>
        <v>0.92727272727272747</v>
      </c>
      <c r="W22" s="98">
        <v>1</v>
      </c>
      <c r="AA22" s="19"/>
      <c r="AB22" s="19"/>
      <c r="AE22" s="8"/>
    </row>
    <row r="23" spans="1:32" s="19" customFormat="1" x14ac:dyDescent="0.2">
      <c r="C23" s="26"/>
      <c r="D23" s="190">
        <v>1</v>
      </c>
      <c r="E23" s="159" t="str">
        <f>VLOOKUP(D23,'Monthly Raw Data'!$AM$7:$AN$16,2,TRUE)</f>
        <v>AEQ</v>
      </c>
      <c r="F23" s="191">
        <v>0.08</v>
      </c>
      <c r="G23" s="192">
        <v>0.14000000000000001</v>
      </c>
      <c r="J23" s="99"/>
      <c r="K23" s="20" t="s">
        <v>26</v>
      </c>
      <c r="L23" s="59">
        <v>0.1</v>
      </c>
      <c r="M23" s="46">
        <f t="shared" ref="M23:U23" si="9">L23+($W$23-$L$23)/11</f>
        <v>0.14545454545454545</v>
      </c>
      <c r="N23" s="46">
        <f t="shared" si="9"/>
        <v>0.19090909090909092</v>
      </c>
      <c r="O23" s="46">
        <f t="shared" si="9"/>
        <v>0.23636363636363639</v>
      </c>
      <c r="P23" s="46">
        <f t="shared" si="9"/>
        <v>0.28181818181818186</v>
      </c>
      <c r="Q23" s="46">
        <f t="shared" si="9"/>
        <v>0.32727272727272733</v>
      </c>
      <c r="R23" s="46">
        <f t="shared" si="9"/>
        <v>0.3727272727272728</v>
      </c>
      <c r="S23" s="46">
        <f t="shared" si="9"/>
        <v>0.41818181818181827</v>
      </c>
      <c r="T23" s="46">
        <f t="shared" si="9"/>
        <v>0.46363636363636374</v>
      </c>
      <c r="U23" s="46">
        <f t="shared" si="9"/>
        <v>0.50909090909090915</v>
      </c>
      <c r="V23" s="46">
        <f>U23+($W$23-$L$23)/11</f>
        <v>0.55454545454545456</v>
      </c>
      <c r="W23" s="100">
        <v>0.6</v>
      </c>
      <c r="Y23" s="3"/>
      <c r="AA23" s="3"/>
      <c r="AB23" s="3"/>
    </row>
    <row r="24" spans="1:32" ht="16" thickBot="1" x14ac:dyDescent="0.25">
      <c r="D24" s="175">
        <v>2</v>
      </c>
      <c r="E24" s="117" t="str">
        <f>VLOOKUP(D24,'Monthly Raw Data'!$AM$7:$AN$16,2,TRUE)</f>
        <v>ILE(H)</v>
      </c>
      <c r="F24" s="176">
        <v>0.09</v>
      </c>
      <c r="G24" s="177">
        <v>0.14000000000000001</v>
      </c>
      <c r="J24" s="90"/>
      <c r="K24" s="91" t="s">
        <v>3</v>
      </c>
      <c r="L24" s="101">
        <f>MIN(Returns8)</f>
        <v>2.4999999999999998E-2</v>
      </c>
      <c r="M24" s="101">
        <f>L24+(MAX(Returns8)-MIN(Returns8))/11</f>
        <v>3.086363636363636E-2</v>
      </c>
      <c r="N24" s="101">
        <f t="shared" ref="N24:V24" si="10">M24+(MAX(Returns8)-MIN(Returns8))/11</f>
        <v>3.6727272727272726E-2</v>
      </c>
      <c r="O24" s="101">
        <f t="shared" si="10"/>
        <v>4.2590909090909089E-2</v>
      </c>
      <c r="P24" s="101">
        <f t="shared" si="10"/>
        <v>4.8454545454545452E-2</v>
      </c>
      <c r="Q24" s="101">
        <f t="shared" si="10"/>
        <v>5.4318181818181814E-2</v>
      </c>
      <c r="R24" s="101">
        <f t="shared" si="10"/>
        <v>6.0181818181818177E-2</v>
      </c>
      <c r="S24" s="101">
        <f t="shared" si="10"/>
        <v>6.6045454545454546E-2</v>
      </c>
      <c r="T24" s="101">
        <f t="shared" si="10"/>
        <v>7.1909090909090909E-2</v>
      </c>
      <c r="U24" s="101">
        <f t="shared" si="10"/>
        <v>7.7772727272727271E-2</v>
      </c>
      <c r="V24" s="101">
        <f t="shared" si="10"/>
        <v>8.3636363636363634E-2</v>
      </c>
      <c r="W24" s="102">
        <f>V24+(MAX(Returns8)-MIN(Returns8))/11</f>
        <v>8.9499999999999996E-2</v>
      </c>
      <c r="AA24" s="19"/>
      <c r="AB24" s="19"/>
    </row>
    <row r="25" spans="1:32" s="19" customFormat="1" x14ac:dyDescent="0.2">
      <c r="D25" s="175">
        <v>3</v>
      </c>
      <c r="E25" s="117" t="str">
        <f>VLOOKUP(D25,'Monthly Raw Data'!$AM$7:$AN$16,2,TRUE)</f>
        <v>ILE</v>
      </c>
      <c r="F25" s="176">
        <v>9.5000000000000001E-2</v>
      </c>
      <c r="G25" s="177">
        <v>0.16</v>
      </c>
      <c r="J25" s="86"/>
      <c r="K25" s="87" t="s">
        <v>12</v>
      </c>
      <c r="L25" s="115">
        <f>SUMPRODUCT($C$4:$C$10,L31:L37)</f>
        <v>0.25000000000003342</v>
      </c>
      <c r="M25" s="115">
        <f t="shared" ref="M25:W25" si="11">SUMPRODUCT($C$4:$C$10,M31:M37)</f>
        <v>0.25000000000000006</v>
      </c>
      <c r="N25" s="115">
        <f t="shared" si="11"/>
        <v>0.25</v>
      </c>
      <c r="O25" s="115">
        <f t="shared" si="11"/>
        <v>0.25</v>
      </c>
      <c r="P25" s="115">
        <f t="shared" si="11"/>
        <v>0.2818181818182523</v>
      </c>
      <c r="Q25" s="115">
        <f t="shared" si="11"/>
        <v>0.36715325072939786</v>
      </c>
      <c r="R25" s="115">
        <f>SUMPRODUCT($C$4:$C$10,R31:R37)</f>
        <v>0.45787878978602564</v>
      </c>
      <c r="S25" s="115">
        <f t="shared" si="11"/>
        <v>0.59263961694302847</v>
      </c>
      <c r="T25" s="115">
        <f t="shared" si="11"/>
        <v>0.74789682453875383</v>
      </c>
      <c r="U25" s="115">
        <f t="shared" si="11"/>
        <v>0.85454545454545516</v>
      </c>
      <c r="V25" s="115">
        <f t="shared" si="11"/>
        <v>0.89999999999999991</v>
      </c>
      <c r="W25" s="116">
        <f t="shared" si="11"/>
        <v>0.89999999999999991</v>
      </c>
      <c r="Y25" s="3"/>
      <c r="AA25" s="3"/>
      <c r="AB25" s="3"/>
    </row>
    <row r="26" spans="1:32" x14ac:dyDescent="0.2">
      <c r="D26" s="175">
        <v>4</v>
      </c>
      <c r="E26" s="117" t="str">
        <f>VLOOKUP(D26,'Monthly Raw Data'!$AM$7:$AN$16,2,TRUE)</f>
        <v>ALP</v>
      </c>
      <c r="F26" s="176">
        <v>8.5000000000000006E-2</v>
      </c>
      <c r="G26" s="177">
        <v>0.15</v>
      </c>
      <c r="J26" s="81"/>
      <c r="K26" s="21" t="s">
        <v>4</v>
      </c>
      <c r="L26" s="37">
        <f t="shared" ref="L26:V26" si="12">SUMPRODUCT(L31:L38,Returns8)</f>
        <v>4.6464969507872184E-2</v>
      </c>
      <c r="M26" s="37">
        <f t="shared" si="12"/>
        <v>4.646496950787074E-2</v>
      </c>
      <c r="N26" s="37">
        <f t="shared" si="12"/>
        <v>4.646496950787074E-2</v>
      </c>
      <c r="O26" s="37">
        <f t="shared" si="12"/>
        <v>4.646496950787074E-2</v>
      </c>
      <c r="P26" s="37">
        <f t="shared" si="12"/>
        <v>4.8454545454546846E-2</v>
      </c>
      <c r="Q26" s="37">
        <f t="shared" si="12"/>
        <v>5.4318181818203748E-2</v>
      </c>
      <c r="R26" s="37">
        <f t="shared" si="12"/>
        <v>6.0181818181818204E-2</v>
      </c>
      <c r="S26" s="37">
        <f t="shared" si="12"/>
        <v>6.6045454545467827E-2</v>
      </c>
      <c r="T26" s="37">
        <f t="shared" si="12"/>
        <v>7.1909090909090853E-2</v>
      </c>
      <c r="U26" s="37">
        <f t="shared" si="12"/>
        <v>7.633863636366639E-2</v>
      </c>
      <c r="V26" s="37">
        <f t="shared" si="12"/>
        <v>7.7975000000029993E-2</v>
      </c>
      <c r="W26" s="75">
        <f>SUMPRODUCT(W31:W38,Returns8)</f>
        <v>7.7975000000029993E-2</v>
      </c>
      <c r="AA26" s="19"/>
      <c r="AB26" s="19"/>
      <c r="AC26" s="19"/>
      <c r="AE26" s="19"/>
      <c r="AF26" s="19"/>
    </row>
    <row r="27" spans="1:32" s="19" customFormat="1" x14ac:dyDescent="0.2">
      <c r="A27" s="3"/>
      <c r="D27" s="175">
        <v>5</v>
      </c>
      <c r="E27" s="117" t="str">
        <f>VLOOKUP(D27,'Monthly Raw Data'!$AM$7:$AN$16,2,TRUE)</f>
        <v>ILP</v>
      </c>
      <c r="F27" s="176">
        <v>0.08</v>
      </c>
      <c r="G27" s="177">
        <v>0.12</v>
      </c>
      <c r="J27" s="88"/>
      <c r="K27" s="21" t="s">
        <v>34</v>
      </c>
      <c r="L27" s="55">
        <f ca="1">MMULT(TRANSPOSE(MMULT(MMULT(MMULT(VolMat8,CorrelMat8),VolMat8),L31:L38)),L31:L38)</f>
        <v>1.2906601799359445E-3</v>
      </c>
      <c r="M27" s="55">
        <f t="shared" ref="M27:W27" ca="1" si="13">MMULT(TRANSPOSE(MMULT(MMULT(MMULT(VolMat8,CorrelMat8),VolMat8),M31:M38)),M31:M38)</f>
        <v>1.2906601799356739E-3</v>
      </c>
      <c r="N27" s="55">
        <f t="shared" ca="1" si="13"/>
        <v>1.2906601799356735E-3</v>
      </c>
      <c r="O27" s="55">
        <f t="shared" ca="1" si="13"/>
        <v>1.2906601799356735E-3</v>
      </c>
      <c r="P27" s="55">
        <f t="shared" ca="1" si="13"/>
        <v>1.5968836593859973E-3</v>
      </c>
      <c r="Q27" s="55">
        <f t="shared" ca="1" si="13"/>
        <v>2.6892838763568358E-3</v>
      </c>
      <c r="R27" s="55">
        <f t="shared" ca="1" si="13"/>
        <v>4.2937424365685458E-3</v>
      </c>
      <c r="S27" s="55">
        <f t="shared" ca="1" si="13"/>
        <v>6.9242608048607525E-3</v>
      </c>
      <c r="T27" s="55">
        <f t="shared" ca="1" si="13"/>
        <v>1.0414921296425954E-2</v>
      </c>
      <c r="U27" s="55">
        <f t="shared" ca="1" si="13"/>
        <v>1.385379946697831E-2</v>
      </c>
      <c r="V27" s="55">
        <f t="shared" ca="1" si="13"/>
        <v>1.5267317423015668E-2</v>
      </c>
      <c r="W27" s="89">
        <f t="shared" ca="1" si="13"/>
        <v>1.5267317423015668E-2</v>
      </c>
      <c r="Y27" s="3"/>
    </row>
    <row r="28" spans="1:32" s="19" customFormat="1" x14ac:dyDescent="0.2">
      <c r="A28" s="3"/>
      <c r="D28" s="175">
        <v>6</v>
      </c>
      <c r="E28" s="117" t="str">
        <f>VLOOKUP(D28,'Monthly Raw Data'!$AM$7:$AN$16,2,TRUE)</f>
        <v>ILI</v>
      </c>
      <c r="F28" s="176">
        <v>4.9607870740213222E-2</v>
      </c>
      <c r="G28" s="177">
        <v>0.06</v>
      </c>
      <c r="J28" s="88"/>
      <c r="K28" s="21" t="s">
        <v>25</v>
      </c>
      <c r="L28" s="37">
        <f ca="1">SQRT(L27)</f>
        <v>3.5925759281272604E-2</v>
      </c>
      <c r="M28" s="37">
        <f t="shared" ref="M28:W28" ca="1" si="14">SQRT(M27)</f>
        <v>3.5925759281268836E-2</v>
      </c>
      <c r="N28" s="37">
        <f t="shared" ca="1" si="14"/>
        <v>3.5925759281268829E-2</v>
      </c>
      <c r="O28" s="37">
        <f t="shared" ca="1" si="14"/>
        <v>3.5925759281268829E-2</v>
      </c>
      <c r="P28" s="37">
        <f t="shared" ca="1" si="14"/>
        <v>3.9961026755903024E-2</v>
      </c>
      <c r="Q28" s="37">
        <f t="shared" ca="1" si="14"/>
        <v>5.1858305760570655E-2</v>
      </c>
      <c r="R28" s="37">
        <f t="shared" ca="1" si="14"/>
        <v>6.5526654397798659E-2</v>
      </c>
      <c r="S28" s="37">
        <f t="shared" ca="1" si="14"/>
        <v>8.3212143373793415E-2</v>
      </c>
      <c r="T28" s="37">
        <f t="shared" ca="1" si="14"/>
        <v>0.10205352172475947</v>
      </c>
      <c r="U28" s="37">
        <f t="shared" ca="1" si="14"/>
        <v>0.1177021642408427</v>
      </c>
      <c r="V28" s="37">
        <f t="shared" ca="1" si="14"/>
        <v>0.12356098665442773</v>
      </c>
      <c r="W28" s="75">
        <f t="shared" ca="1" si="14"/>
        <v>0.12356098665442773</v>
      </c>
      <c r="Y28" s="3"/>
      <c r="AC28" s="3"/>
      <c r="AE28" s="3"/>
      <c r="AF28" s="3"/>
    </row>
    <row r="29" spans="1:32" s="19" customFormat="1" x14ac:dyDescent="0.2">
      <c r="A29" s="3"/>
      <c r="D29" s="175">
        <v>7</v>
      </c>
      <c r="E29" s="117" t="str">
        <f>VLOOKUP(D29,'Monthly Raw Data'!$AM$7:$AN$16,2,TRUE)</f>
        <v>AFI</v>
      </c>
      <c r="F29" s="176">
        <v>0.05</v>
      </c>
      <c r="G29" s="177">
        <v>3.5000000000000003E-2</v>
      </c>
      <c r="J29" s="88"/>
      <c r="K29" s="21" t="s">
        <v>18</v>
      </c>
      <c r="L29" s="37">
        <f ca="1">_xlfn.NORM.DIST(0,L26,L28,1)</f>
        <v>9.7943147048532186E-2</v>
      </c>
      <c r="M29" s="37">
        <f t="shared" ref="M29:W29" ca="1" si="15">_xlfn.NORM.DIST(0,M26,M28,1)</f>
        <v>9.7943147048515672E-2</v>
      </c>
      <c r="N29" s="37">
        <f t="shared" ca="1" si="15"/>
        <v>9.7943147048515589E-2</v>
      </c>
      <c r="O29" s="37">
        <f t="shared" ca="1" si="15"/>
        <v>9.7943147048515589E-2</v>
      </c>
      <c r="P29" s="37">
        <f t="shared" ca="1" si="15"/>
        <v>0.11265190307833528</v>
      </c>
      <c r="Q29" s="37">
        <f t="shared" ca="1" si="15"/>
        <v>0.14744959895803655</v>
      </c>
      <c r="R29" s="37">
        <f t="shared" ca="1" si="15"/>
        <v>0.17919620457905763</v>
      </c>
      <c r="S29" s="37">
        <f t="shared" ca="1" si="15"/>
        <v>0.2136851328764561</v>
      </c>
      <c r="T29" s="37">
        <f t="shared" ca="1" si="15"/>
        <v>0.24052295217600894</v>
      </c>
      <c r="U29" s="37">
        <f t="shared" ca="1" si="15"/>
        <v>0.25830668254334049</v>
      </c>
      <c r="V29" s="37">
        <f t="shared" ca="1" si="15"/>
        <v>0.26399904956780945</v>
      </c>
      <c r="W29" s="75">
        <f t="shared" ca="1" si="15"/>
        <v>0.26399904956780945</v>
      </c>
      <c r="Y29" s="3"/>
      <c r="AA29" s="3"/>
      <c r="AB29" s="3"/>
      <c r="AC29" s="3"/>
      <c r="AE29" s="3"/>
      <c r="AF29" s="3"/>
    </row>
    <row r="30" spans="1:32" ht="16" thickBot="1" x14ac:dyDescent="0.25">
      <c r="C30" s="19"/>
      <c r="D30" s="175">
        <v>8</v>
      </c>
      <c r="E30" s="117" t="str">
        <f>VLOOKUP(D30,'Monthly Raw Data'!$AM$7:$AN$16,2,TRUE)</f>
        <v>IFI</v>
      </c>
      <c r="F30" s="176">
        <v>0.05</v>
      </c>
      <c r="G30" s="177">
        <v>0.03</v>
      </c>
      <c r="J30" s="90"/>
      <c r="K30" s="91" t="s">
        <v>29</v>
      </c>
      <c r="L30" s="58">
        <f ca="1">1-_xlfn.NORM.DIST($C$18,L26,L28,1)</f>
        <v>0.35317969366055846</v>
      </c>
      <c r="M30" s="58">
        <f t="shared" ref="M30:W30" ca="1" si="16">1-_xlfn.NORM.DIST($C$18,M26,M28,1)</f>
        <v>0.35317969366052882</v>
      </c>
      <c r="N30" s="58">
        <f t="shared" ca="1" si="16"/>
        <v>0.3531796936605287</v>
      </c>
      <c r="O30" s="58">
        <f t="shared" ca="1" si="16"/>
        <v>0.3531796936605287</v>
      </c>
      <c r="P30" s="58">
        <f t="shared" ca="1" si="16"/>
        <v>0.38632211596776367</v>
      </c>
      <c r="Q30" s="58">
        <f t="shared" ca="1" si="16"/>
        <v>0.45637746833898873</v>
      </c>
      <c r="R30" s="58">
        <f t="shared" ca="1" si="16"/>
        <v>0.5011069520894107</v>
      </c>
      <c r="S30" s="58">
        <f t="shared" ca="1" si="16"/>
        <v>0.52895812270408604</v>
      </c>
      <c r="T30" s="58">
        <f t="shared" ca="1" si="16"/>
        <v>0.54644894971172353</v>
      </c>
      <c r="U30" s="58">
        <f t="shared" ca="1" si="16"/>
        <v>0.55520119341207952</v>
      </c>
      <c r="V30" s="58">
        <f t="shared" ca="1" si="16"/>
        <v>0.55783196323958939</v>
      </c>
      <c r="W30" s="76">
        <f t="shared" ca="1" si="16"/>
        <v>0.55783196323958939</v>
      </c>
    </row>
    <row r="31" spans="1:32" ht="14" customHeight="1" x14ac:dyDescent="0.2">
      <c r="C31" s="19"/>
      <c r="D31" s="178">
        <v>9</v>
      </c>
      <c r="E31" s="164" t="str">
        <f>VLOOKUP(D31,'Monthly Raw Data'!$AM$7:$AN$16,2,TRUE)</f>
        <v>Cash</v>
      </c>
      <c r="F31" s="179">
        <v>0.03</v>
      </c>
      <c r="G31" s="180">
        <v>5.0000000000000001E-3</v>
      </c>
      <c r="J31" s="85" t="s">
        <v>11</v>
      </c>
      <c r="K31" s="65" t="str">
        <f>D4</f>
        <v>AEQ</v>
      </c>
      <c r="L31" s="57">
        <v>0.1</v>
      </c>
      <c r="M31" s="57">
        <v>0.1</v>
      </c>
      <c r="N31" s="57">
        <v>0.1</v>
      </c>
      <c r="O31" s="57">
        <v>0.1</v>
      </c>
      <c r="P31" s="57">
        <v>0.1</v>
      </c>
      <c r="Q31" s="57">
        <v>0.1</v>
      </c>
      <c r="R31" s="57">
        <v>0.1</v>
      </c>
      <c r="S31" s="57">
        <v>0.10574451467003598</v>
      </c>
      <c r="T31" s="57">
        <v>0.22763489902633671</v>
      </c>
      <c r="U31" s="57">
        <v>0.40454545455545521</v>
      </c>
      <c r="V31" s="57">
        <v>0.45000000000999996</v>
      </c>
      <c r="W31" s="66">
        <v>0.45000000000999996</v>
      </c>
    </row>
    <row r="32" spans="1:32" x14ac:dyDescent="0.2">
      <c r="C32" s="19"/>
      <c r="J32" s="82"/>
      <c r="K32" s="23" t="str">
        <f>D5</f>
        <v>ILE</v>
      </c>
      <c r="L32" s="37">
        <v>0.1</v>
      </c>
      <c r="M32" s="37">
        <v>0.1</v>
      </c>
      <c r="N32" s="37">
        <v>0.1</v>
      </c>
      <c r="O32" s="37">
        <v>0.1</v>
      </c>
      <c r="P32" s="37">
        <v>0.15163668370117997</v>
      </c>
      <c r="Q32" s="37">
        <v>0.23102202391433166</v>
      </c>
      <c r="R32" s="37">
        <v>0.32793375821339615</v>
      </c>
      <c r="S32" s="37">
        <v>0.42461747061784205</v>
      </c>
      <c r="T32" s="37">
        <v>0.44999999999999996</v>
      </c>
      <c r="U32" s="37">
        <v>0.44999999999999996</v>
      </c>
      <c r="V32" s="37">
        <v>0.44999999999999996</v>
      </c>
      <c r="W32" s="75">
        <v>0.44999999999999996</v>
      </c>
    </row>
    <row r="33" spans="3:23" x14ac:dyDescent="0.2">
      <c r="C33" s="19"/>
      <c r="J33" s="82"/>
      <c r="K33" s="24" t="str">
        <f>D6</f>
        <v>ALP</v>
      </c>
      <c r="L33" s="37">
        <v>4.9999000000033406E-2</v>
      </c>
      <c r="M33" s="37">
        <v>4.9999000000000071E-2</v>
      </c>
      <c r="N33" s="37">
        <v>4.999900000000003E-2</v>
      </c>
      <c r="O33" s="37">
        <v>4.999900000000003E-2</v>
      </c>
      <c r="P33" s="37">
        <v>3.0179498117072375E-2</v>
      </c>
      <c r="Q33" s="37">
        <v>3.6130226815066224E-2</v>
      </c>
      <c r="R33" s="37">
        <v>2.9944031572629499E-2</v>
      </c>
      <c r="S33" s="37">
        <v>6.227663165515035E-2</v>
      </c>
      <c r="T33" s="37">
        <v>7.026092551241718E-2</v>
      </c>
      <c r="U33" s="37">
        <v>0</v>
      </c>
      <c r="V33" s="37">
        <v>0</v>
      </c>
      <c r="W33" s="75">
        <v>0</v>
      </c>
    </row>
    <row r="34" spans="3:23" x14ac:dyDescent="0.2">
      <c r="C34" s="19"/>
      <c r="J34" s="82"/>
      <c r="K34" s="25" t="str">
        <f>D7</f>
        <v>AFI</v>
      </c>
      <c r="L34" s="37">
        <v>0.3</v>
      </c>
      <c r="M34" s="37">
        <v>0.3</v>
      </c>
      <c r="N34" s="37">
        <v>0.3</v>
      </c>
      <c r="O34" s="37">
        <v>0.3</v>
      </c>
      <c r="P34" s="37">
        <v>0.29999999983542702</v>
      </c>
      <c r="Q34" s="37">
        <v>0.3</v>
      </c>
      <c r="R34" s="37">
        <v>0.3</v>
      </c>
      <c r="S34" s="37">
        <v>0.3</v>
      </c>
      <c r="T34" s="37">
        <v>0.2021031754612474</v>
      </c>
      <c r="U34" s="37">
        <v>9.5454545454544834E-2</v>
      </c>
      <c r="V34" s="37">
        <v>0.05</v>
      </c>
      <c r="W34" s="75">
        <v>0.05</v>
      </c>
    </row>
    <row r="35" spans="3:23" x14ac:dyDescent="0.2">
      <c r="J35" s="82"/>
      <c r="K35" s="23" t="str">
        <f>D8</f>
        <v>IFI</v>
      </c>
      <c r="L35" s="37">
        <v>0.2</v>
      </c>
      <c r="M35" s="37">
        <v>0.2</v>
      </c>
      <c r="N35" s="37">
        <v>0.2</v>
      </c>
      <c r="O35" s="37">
        <v>0.2</v>
      </c>
      <c r="P35" s="37">
        <v>0.1681818223303958</v>
      </c>
      <c r="Q35" s="37">
        <v>0.2</v>
      </c>
      <c r="R35" s="37">
        <v>0.19212121021397441</v>
      </c>
      <c r="S35" s="37">
        <v>5.736038305707037E-2</v>
      </c>
      <c r="T35" s="37">
        <v>0</v>
      </c>
      <c r="U35" s="37">
        <v>0</v>
      </c>
      <c r="V35" s="37">
        <v>0</v>
      </c>
      <c r="W35" s="75">
        <v>0</v>
      </c>
    </row>
    <row r="36" spans="3:23" x14ac:dyDescent="0.2">
      <c r="J36" s="82"/>
      <c r="K36" s="23" t="str">
        <f t="shared" ref="K36:K37" si="17">D9</f>
        <v>ILP</v>
      </c>
      <c r="L36" s="37">
        <v>0</v>
      </c>
      <c r="M36" s="37">
        <v>0</v>
      </c>
      <c r="N36" s="37">
        <v>0</v>
      </c>
      <c r="O36" s="37">
        <v>0</v>
      </c>
      <c r="P36" s="37">
        <v>9.9999999999999995E-7</v>
      </c>
      <c r="Q36" s="37">
        <v>9.9999999999999995E-7</v>
      </c>
      <c r="R36" s="37">
        <v>9.9999999999999995E-7</v>
      </c>
      <c r="S36" s="37">
        <v>9.9999999999999995E-7</v>
      </c>
      <c r="T36" s="37">
        <v>1.0000000000000002E-6</v>
      </c>
      <c r="U36" s="37">
        <v>-9.9999999999583996E-12</v>
      </c>
      <c r="V36" s="37">
        <v>-9.9999999999583996E-12</v>
      </c>
      <c r="W36" s="75">
        <v>-9.9999999999583996E-12</v>
      </c>
    </row>
    <row r="37" spans="3:23" x14ac:dyDescent="0.2">
      <c r="J37" s="82"/>
      <c r="K37" s="23" t="str">
        <f t="shared" si="17"/>
        <v>ILI</v>
      </c>
      <c r="L37" s="37">
        <v>9.9999999999999995E-7</v>
      </c>
      <c r="M37" s="37">
        <v>9.9999999999999995E-7</v>
      </c>
      <c r="N37" s="37">
        <v>9.9999999999999995E-7</v>
      </c>
      <c r="O37" s="37">
        <v>9.9999999999999995E-7</v>
      </c>
      <c r="P37" s="37">
        <v>9.9999999999999995E-7</v>
      </c>
      <c r="Q37" s="37">
        <v>0</v>
      </c>
      <c r="R37" s="37">
        <v>0</v>
      </c>
      <c r="S37" s="37">
        <v>0</v>
      </c>
      <c r="T37" s="37">
        <v>0</v>
      </c>
      <c r="U37" s="37">
        <v>0</v>
      </c>
      <c r="V37" s="37">
        <v>0</v>
      </c>
      <c r="W37" s="75">
        <v>0</v>
      </c>
    </row>
    <row r="38" spans="3:23" ht="16" thickBot="1" x14ac:dyDescent="0.25">
      <c r="J38" s="83"/>
      <c r="K38" s="84" t="s">
        <v>30</v>
      </c>
      <c r="L38" s="58">
        <f>1-SUM(L31:L37)</f>
        <v>0.24999999999996658</v>
      </c>
      <c r="M38" s="58">
        <f t="shared" ref="M38:W38" si="18">1-SUM(M31:M37)</f>
        <v>0.24999999999999989</v>
      </c>
      <c r="N38" s="58">
        <f t="shared" si="18"/>
        <v>0.24999999999999989</v>
      </c>
      <c r="O38" s="58">
        <f t="shared" si="18"/>
        <v>0.24999999999999989</v>
      </c>
      <c r="P38" s="58">
        <f t="shared" si="18"/>
        <v>0.24999999601592482</v>
      </c>
      <c r="Q38" s="58">
        <f t="shared" si="18"/>
        <v>0.13284674927060214</v>
      </c>
      <c r="R38" s="58">
        <f t="shared" si="18"/>
        <v>4.9999999999999933E-2</v>
      </c>
      <c r="S38" s="58">
        <f t="shared" si="18"/>
        <v>4.9999999999901124E-2</v>
      </c>
      <c r="T38" s="58">
        <f t="shared" si="18"/>
        <v>4.9999999999998823E-2</v>
      </c>
      <c r="U38" s="58">
        <f t="shared" si="18"/>
        <v>5.0000000000000044E-2</v>
      </c>
      <c r="V38" s="58">
        <f t="shared" si="18"/>
        <v>5.0000000000000044E-2</v>
      </c>
      <c r="W38" s="76">
        <f t="shared" si="18"/>
        <v>5.0000000000000044E-2</v>
      </c>
    </row>
    <row r="39" spans="3:23" ht="16" thickBot="1" x14ac:dyDescent="0.25"/>
    <row r="40" spans="3:23" ht="16" thickBot="1" x14ac:dyDescent="0.25">
      <c r="J40" s="77"/>
      <c r="K40" s="78" t="s">
        <v>2</v>
      </c>
      <c r="L40" s="79">
        <f t="shared" ref="L40:W40" si="19">SUM(L31:L38)</f>
        <v>1</v>
      </c>
      <c r="M40" s="79">
        <f t="shared" si="19"/>
        <v>1</v>
      </c>
      <c r="N40" s="79">
        <f t="shared" si="19"/>
        <v>1</v>
      </c>
      <c r="O40" s="79">
        <f t="shared" si="19"/>
        <v>1</v>
      </c>
      <c r="P40" s="79">
        <f t="shared" si="19"/>
        <v>1</v>
      </c>
      <c r="Q40" s="79">
        <f t="shared" si="19"/>
        <v>1</v>
      </c>
      <c r="R40" s="79">
        <f t="shared" si="19"/>
        <v>1</v>
      </c>
      <c r="S40" s="79">
        <f t="shared" si="19"/>
        <v>1</v>
      </c>
      <c r="T40" s="79">
        <f t="shared" si="19"/>
        <v>1</v>
      </c>
      <c r="U40" s="79">
        <f t="shared" si="19"/>
        <v>1</v>
      </c>
      <c r="V40" s="79">
        <f t="shared" si="19"/>
        <v>1</v>
      </c>
      <c r="W40" s="80">
        <f t="shared" si="19"/>
        <v>1</v>
      </c>
    </row>
    <row r="54" spans="7:7" x14ac:dyDescent="0.2">
      <c r="G54" s="3" t="s">
        <v>133</v>
      </c>
    </row>
  </sheetData>
  <mergeCells count="1">
    <mergeCell ref="D21:G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5">
                <anchor moveWithCells="1" sizeWithCells="1">
                  <from>
                    <xdr:col>0</xdr:col>
                    <xdr:colOff>266700</xdr:colOff>
                    <xdr:row>18</xdr:row>
                    <xdr:rowOff>254000</xdr:rowOff>
                  </from>
                  <to>
                    <xdr:col>2</xdr:col>
                    <xdr:colOff>342900</xdr:colOff>
                    <xdr:row>19</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Naive">
                <anchor moveWithCells="1" sizeWithCells="1">
                  <from>
                    <xdr:col>0</xdr:col>
                    <xdr:colOff>266700</xdr:colOff>
                    <xdr:row>19</xdr:row>
                    <xdr:rowOff>304800</xdr:rowOff>
                  </from>
                  <to>
                    <xdr:col>2</xdr:col>
                    <xdr:colOff>355600</xdr:colOff>
                    <xdr:row>19</xdr:row>
                    <xdr:rowOff>723900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Q301"/>
  <sheetViews>
    <sheetView tabSelected="1" zoomScale="92" zoomScaleNormal="70" workbookViewId="0">
      <pane ySplit="4" topLeftCell="A5" activePane="bottomLeft" state="frozen"/>
      <selection pane="bottomLeft" activeCell="L12" sqref="L12"/>
    </sheetView>
  </sheetViews>
  <sheetFormatPr baseColWidth="10" defaultColWidth="8.83203125" defaultRowHeight="15" x14ac:dyDescent="0.2"/>
  <cols>
    <col min="2" max="2" width="13.6640625" style="1" customWidth="1"/>
    <col min="3" max="3" width="12.5" bestFit="1" customWidth="1"/>
    <col min="4" max="4" width="13" bestFit="1" customWidth="1"/>
    <col min="5" max="5" width="13.5" bestFit="1" customWidth="1"/>
    <col min="6" max="6" width="10.6640625" bestFit="1" customWidth="1"/>
    <col min="7" max="7" width="13.6640625" bestFit="1" customWidth="1"/>
    <col min="8" max="8" width="14.33203125" bestFit="1" customWidth="1"/>
    <col min="9" max="9" width="12" bestFit="1" customWidth="1"/>
    <col min="10" max="10" width="14.6640625" bestFit="1" customWidth="1"/>
    <col min="11" max="11" width="11.83203125" bestFit="1" customWidth="1"/>
    <col min="12" max="12" width="9.83203125" customWidth="1"/>
    <col min="14" max="14" width="11" customWidth="1"/>
    <col min="15" max="24" width="10.5" customWidth="1"/>
    <col min="25" max="25" width="19" customWidth="1"/>
    <col min="26" max="26" width="12.33203125" customWidth="1"/>
    <col min="27" max="27" width="11.83203125" bestFit="1" customWidth="1"/>
    <col min="28" max="28" width="13" bestFit="1" customWidth="1"/>
    <col min="29" max="29" width="13.5" bestFit="1" customWidth="1"/>
    <col min="30" max="30" width="11.83203125" bestFit="1" customWidth="1"/>
    <col min="31" max="31" width="13.6640625" bestFit="1" customWidth="1"/>
    <col min="32" max="32" width="14.33203125" bestFit="1" customWidth="1"/>
    <col min="33" max="33" width="12" bestFit="1" customWidth="1"/>
    <col min="34" max="34" width="14.6640625" bestFit="1" customWidth="1"/>
    <col min="35" max="35" width="11.83203125" bestFit="1" customWidth="1"/>
    <col min="39" max="39" width="10.5" bestFit="1" customWidth="1"/>
    <col min="41" max="41" width="12.5" customWidth="1"/>
    <col min="42" max="42" width="35.83203125" customWidth="1"/>
    <col min="43" max="43" width="87" customWidth="1"/>
    <col min="44" max="44" width="17.5" customWidth="1"/>
  </cols>
  <sheetData>
    <row r="1" spans="1:69" x14ac:dyDescent="0.2">
      <c r="A1" t="s">
        <v>36</v>
      </c>
      <c r="B1" s="36">
        <v>36889</v>
      </c>
      <c r="C1">
        <f>FindIndex(HistoryDates,B1)</f>
        <v>1</v>
      </c>
    </row>
    <row r="2" spans="1:69" x14ac:dyDescent="0.2">
      <c r="A2" t="s">
        <v>37</v>
      </c>
      <c r="B2" s="135">
        <v>45898</v>
      </c>
      <c r="C2">
        <f>FindIndex(HistoryDates,B2)</f>
        <v>297</v>
      </c>
    </row>
    <row r="3" spans="1:69" ht="32" customHeight="1" x14ac:dyDescent="0.2">
      <c r="B3" s="224" t="s">
        <v>149</v>
      </c>
      <c r="C3" s="225"/>
      <c r="D3" s="225"/>
      <c r="E3" s="225"/>
      <c r="F3" s="225"/>
      <c r="G3" s="225"/>
      <c r="H3" s="225"/>
      <c r="I3" s="225"/>
      <c r="J3" s="225"/>
      <c r="K3" s="225"/>
      <c r="L3" s="226"/>
      <c r="N3" s="227" t="s">
        <v>93</v>
      </c>
      <c r="O3" s="228"/>
      <c r="P3" s="228"/>
      <c r="Q3" s="228"/>
      <c r="R3" s="228"/>
      <c r="S3" s="228"/>
      <c r="T3" s="228"/>
      <c r="U3" s="228"/>
      <c r="V3" s="228"/>
      <c r="W3" s="228"/>
      <c r="X3" s="229"/>
      <c r="Z3" s="224" t="s">
        <v>64</v>
      </c>
      <c r="AA3" s="225"/>
      <c r="AB3" s="225"/>
      <c r="AC3" s="225"/>
      <c r="AD3" s="225"/>
      <c r="AE3" s="225"/>
      <c r="AF3" s="225"/>
      <c r="AG3" s="225"/>
      <c r="AH3" s="225"/>
      <c r="AI3" s="225"/>
      <c r="AJ3" s="226"/>
    </row>
    <row r="4" spans="1:69" s="2" customFormat="1" ht="86" x14ac:dyDescent="0.2">
      <c r="B4" s="62" t="s">
        <v>0</v>
      </c>
      <c r="C4" s="63" t="s">
        <v>134</v>
      </c>
      <c r="D4" s="211" t="s">
        <v>135</v>
      </c>
      <c r="E4" s="63" t="s">
        <v>136</v>
      </c>
      <c r="F4" s="63" t="s">
        <v>138</v>
      </c>
      <c r="G4" s="63" t="s">
        <v>139</v>
      </c>
      <c r="H4" s="63" t="s">
        <v>137</v>
      </c>
      <c r="I4" s="63" t="s">
        <v>140</v>
      </c>
      <c r="J4" s="63" t="s">
        <v>142</v>
      </c>
      <c r="K4" s="64" t="s">
        <v>141</v>
      </c>
      <c r="L4" s="64"/>
      <c r="M4" s="34"/>
      <c r="N4" s="62"/>
      <c r="O4" s="63" t="str">
        <f>C4</f>
        <v>Australian Listed Equity [G]</v>
      </c>
      <c r="P4" s="211" t="str">
        <f t="shared" ref="P4:W4" si="0">D4</f>
        <v>Int'l Listed Equity (Hedged) [G]</v>
      </c>
      <c r="Q4" s="63" t="str">
        <f t="shared" si="0"/>
        <v>Int'l Listed Equity (Unhedged) [G]</v>
      </c>
      <c r="R4" s="63" t="str">
        <f t="shared" si="0"/>
        <v>Australian Listed Property [G]</v>
      </c>
      <c r="S4" s="63" t="str">
        <f t="shared" si="0"/>
        <v>Int'l Listed Property [G]</v>
      </c>
      <c r="T4" s="63" t="str">
        <f t="shared" si="0"/>
        <v>Int'l Listed Infrastructure [G]</v>
      </c>
      <c r="U4" s="63" t="str">
        <f t="shared" si="0"/>
        <v>Australian Fixed Income [D]</v>
      </c>
      <c r="V4" s="63" t="str">
        <f t="shared" si="0"/>
        <v>Int'l Fixed Income (Hedged) [D]</v>
      </c>
      <c r="W4" s="63" t="str">
        <f t="shared" si="0"/>
        <v>Cash [D]</v>
      </c>
      <c r="X4" s="64"/>
      <c r="Y4"/>
      <c r="Z4" s="35" t="s">
        <v>15</v>
      </c>
      <c r="AA4" s="35" t="str">
        <f t="shared" ref="AA4:AI4" si="1">C4</f>
        <v>Australian Listed Equity [G]</v>
      </c>
      <c r="AB4" s="35" t="str">
        <f t="shared" si="1"/>
        <v>Int'l Listed Equity (Hedged) [G]</v>
      </c>
      <c r="AC4" s="35" t="str">
        <f t="shared" si="1"/>
        <v>Int'l Listed Equity (Unhedged) [G]</v>
      </c>
      <c r="AD4" s="35" t="str">
        <f t="shared" si="1"/>
        <v>Australian Listed Property [G]</v>
      </c>
      <c r="AE4" s="35" t="str">
        <f t="shared" si="1"/>
        <v>Int'l Listed Property [G]</v>
      </c>
      <c r="AF4" s="35" t="str">
        <f t="shared" si="1"/>
        <v>Int'l Listed Infrastructure [G]</v>
      </c>
      <c r="AG4" s="35" t="str">
        <f t="shared" si="1"/>
        <v>Australian Fixed Income [D]</v>
      </c>
      <c r="AH4" s="35" t="str">
        <f t="shared" si="1"/>
        <v>Int'l Fixed Income (Hedged) [D]</v>
      </c>
      <c r="AI4" s="35" t="str">
        <f t="shared" si="1"/>
        <v>Cash [D]</v>
      </c>
      <c r="AJ4" s="35"/>
      <c r="AK4" s="35"/>
      <c r="AL4" s="35"/>
      <c r="AM4" s="35"/>
      <c r="AN4" s="35"/>
      <c r="AO4" s="111"/>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row>
    <row r="5" spans="1:69" x14ac:dyDescent="0.2">
      <c r="A5">
        <v>1</v>
      </c>
      <c r="B5" s="1">
        <v>36889</v>
      </c>
      <c r="C5" s="128">
        <v>0</v>
      </c>
      <c r="D5" s="212">
        <v>0</v>
      </c>
      <c r="E5" s="129">
        <v>0</v>
      </c>
      <c r="F5" s="129">
        <v>0</v>
      </c>
      <c r="G5" s="129">
        <v>0</v>
      </c>
      <c r="H5" s="129">
        <v>0</v>
      </c>
      <c r="I5" s="129">
        <v>0</v>
      </c>
      <c r="J5" s="128">
        <v>0</v>
      </c>
      <c r="K5" s="128">
        <v>0</v>
      </c>
      <c r="L5" s="129"/>
      <c r="N5" s="60" t="s">
        <v>21</v>
      </c>
      <c r="O5" s="73">
        <f ca="1">AVERAGE(OFFSET($B$4,$C$1,O$10,$C$2-$C$1+1,1))</f>
        <v>7.6539393956343562E-3</v>
      </c>
      <c r="P5" s="213">
        <f t="shared" ref="P5:W5" ca="1" si="2">AVERAGE(OFFSET($B$4,$C$1,P$10,$C$2-$C$1+1,1))</f>
        <v>6.3311255438558743E-3</v>
      </c>
      <c r="Q5" s="73">
        <f t="shared" ca="1" si="2"/>
        <v>8.5697856589758148E-3</v>
      </c>
      <c r="R5" s="73">
        <f t="shared" ca="1" si="2"/>
        <v>6.0139055358221548E-3</v>
      </c>
      <c r="S5" s="73">
        <f t="shared" ca="1" si="2"/>
        <v>6.1480980644976653E-3</v>
      </c>
      <c r="T5" s="73">
        <f t="shared" ca="1" si="2"/>
        <v>4.7356273855354352E-3</v>
      </c>
      <c r="U5" s="73">
        <f t="shared" ca="1" si="2"/>
        <v>3.7774465872969266E-3</v>
      </c>
      <c r="V5" s="73">
        <f t="shared" ca="1" si="2"/>
        <v>4.2409621013451988E-3</v>
      </c>
      <c r="W5" s="73">
        <f t="shared" ca="1" si="2"/>
        <v>3.0200054118994998E-3</v>
      </c>
      <c r="X5" s="134"/>
      <c r="Z5" s="1">
        <f t="shared" ref="Z5:Z36" si="3">B5</f>
        <v>36889</v>
      </c>
      <c r="AA5">
        <f>IF($Z5&lt;$B$1,100,100*(1+C5))</f>
        <v>100</v>
      </c>
      <c r="AB5">
        <f t="shared" ref="AB5:AI5" si="4">IF($Z5&lt;$B$1,100,100*(1+D5))</f>
        <v>100</v>
      </c>
      <c r="AC5">
        <f t="shared" si="4"/>
        <v>100</v>
      </c>
      <c r="AD5">
        <f t="shared" si="4"/>
        <v>100</v>
      </c>
      <c r="AE5">
        <f t="shared" si="4"/>
        <v>100</v>
      </c>
      <c r="AF5">
        <f t="shared" si="4"/>
        <v>100</v>
      </c>
      <c r="AG5">
        <f t="shared" si="4"/>
        <v>100</v>
      </c>
      <c r="AH5">
        <f t="shared" si="4"/>
        <v>100</v>
      </c>
      <c r="AI5">
        <f t="shared" si="4"/>
        <v>100</v>
      </c>
    </row>
    <row r="6" spans="1:69" ht="16" x14ac:dyDescent="0.2">
      <c r="A6">
        <f>A5+1</f>
        <v>2</v>
      </c>
      <c r="B6" s="1">
        <v>36922</v>
      </c>
      <c r="C6" s="128">
        <v>4.3197726709855777E-2</v>
      </c>
      <c r="D6" s="212">
        <v>2.6029918431049293E-2</v>
      </c>
      <c r="E6" s="129">
        <v>0.13823999999999992</v>
      </c>
      <c r="F6" s="129">
        <v>-1.385767472628141E-2</v>
      </c>
      <c r="G6" s="129">
        <v>0</v>
      </c>
      <c r="H6" s="129">
        <v>9.4384552106334674E-3</v>
      </c>
      <c r="I6" s="129">
        <v>1.5003376108778887E-2</v>
      </c>
      <c r="J6" s="128">
        <v>1.096597446505454E-2</v>
      </c>
      <c r="K6" s="128">
        <v>5.3641737526037847E-3</v>
      </c>
      <c r="N6" s="60" t="s">
        <v>22</v>
      </c>
      <c r="O6" s="70">
        <f t="shared" ref="O6:W6" ca="1" si="5">STDEV(OFFSET($B$4,$C$1,O$10,$C$2-$C$1+1,1))</f>
        <v>3.8509205072926836E-2</v>
      </c>
      <c r="P6" s="214">
        <f t="shared" ca="1" si="5"/>
        <v>4.111269666242566E-2</v>
      </c>
      <c r="Q6" s="70">
        <f t="shared" ca="1" si="5"/>
        <v>4.7190405773861847E-2</v>
      </c>
      <c r="R6" s="70">
        <f t="shared" ca="1" si="5"/>
        <v>5.2758931539800602E-2</v>
      </c>
      <c r="S6" s="70">
        <f t="shared" ca="1" si="5"/>
        <v>2.9574399420521355E-2</v>
      </c>
      <c r="T6" s="70">
        <f t="shared" ca="1" si="5"/>
        <v>1.4289447991654769E-2</v>
      </c>
      <c r="U6" s="70">
        <f t="shared" ca="1" si="5"/>
        <v>1.0442178782318625E-2</v>
      </c>
      <c r="V6" s="70">
        <f t="shared" ca="1" si="5"/>
        <v>9.7486742734251303E-3</v>
      </c>
      <c r="W6" s="70">
        <f t="shared" ca="1" si="5"/>
        <v>1.6324143244695493E-3</v>
      </c>
      <c r="X6" s="71"/>
      <c r="Z6" s="1">
        <f t="shared" si="3"/>
        <v>36922</v>
      </c>
      <c r="AA6">
        <f>IF($Z6&lt;$B$1,100,AA5*(1+C6))</f>
        <v>104.31977267098557</v>
      </c>
      <c r="AB6">
        <f t="shared" ref="AB6:AB37" si="6">IF($Z6&lt;$B$1,100,AB5*(1+D6))</f>
        <v>102.60299184310493</v>
      </c>
      <c r="AC6">
        <f t="shared" ref="AC6:AC37" si="7">IF($Z6&lt;$B$1,100,AC5*(1+E6))</f>
        <v>113.824</v>
      </c>
      <c r="AD6">
        <f t="shared" ref="AD6:AD37" si="8">IF($Z6&lt;$B$1,100,AD5*(1+F6))</f>
        <v>98.614232527371854</v>
      </c>
      <c r="AE6">
        <f t="shared" ref="AE6:AE37" si="9">IF($Z6&lt;$B$1,100,AE5*(1+G6))</f>
        <v>100</v>
      </c>
      <c r="AF6">
        <f t="shared" ref="AF6:AF37" si="10">IF($Z6&lt;$B$1,100,AF5*(1+H6))</f>
        <v>100.94384552106335</v>
      </c>
      <c r="AG6">
        <f t="shared" ref="AG6:AG37" si="11">IF($Z6&lt;$B$1,100,AG5*(1+I6))</f>
        <v>101.50033761087789</v>
      </c>
      <c r="AH6">
        <f t="shared" ref="AH6:AH37" si="12">IF($Z6&lt;$B$1,100,AH5*(1+J6))</f>
        <v>101.09659744650546</v>
      </c>
      <c r="AI6">
        <f t="shared" ref="AI6:AI37" si="13">IF($Z6&lt;$B$1,100,AI5*(1+K6))</f>
        <v>100.53641737526038</v>
      </c>
      <c r="AM6" s="69" t="s">
        <v>66</v>
      </c>
      <c r="AN6" s="69" t="s">
        <v>8</v>
      </c>
      <c r="AO6" s="112" t="s">
        <v>33</v>
      </c>
      <c r="AP6" s="69" t="s">
        <v>32</v>
      </c>
      <c r="AQ6" s="69" t="s">
        <v>63</v>
      </c>
      <c r="AR6" s="69" t="s">
        <v>39</v>
      </c>
    </row>
    <row r="7" spans="1:69" x14ac:dyDescent="0.2">
      <c r="A7">
        <f>A6+1</f>
        <v>3</v>
      </c>
      <c r="B7" s="1">
        <v>36950</v>
      </c>
      <c r="C7" s="128">
        <v>-1.8742737189338943E-3</v>
      </c>
      <c r="D7" s="212">
        <v>-7.8678278771841526E-2</v>
      </c>
      <c r="E7" s="129">
        <v>-6.7859150969918458E-2</v>
      </c>
      <c r="F7" s="129">
        <v>-5.1858031114818681E-3</v>
      </c>
      <c r="G7" s="129">
        <v>0</v>
      </c>
      <c r="H7" s="129">
        <v>-5.8760454642934334E-3</v>
      </c>
      <c r="I7" s="129">
        <v>6.6754354533802296E-3</v>
      </c>
      <c r="J7" s="128">
        <v>1.0249568713298185E-2</v>
      </c>
      <c r="K7" s="128">
        <v>4.6949531743440964E-3</v>
      </c>
      <c r="N7" s="60"/>
      <c r="P7" s="215"/>
      <c r="X7" s="61"/>
      <c r="Z7" s="1">
        <f t="shared" si="3"/>
        <v>36950</v>
      </c>
      <c r="AA7">
        <f>IF($Z7&lt;$B$1,100,AA6*(1+C7))</f>
        <v>104.12424886270318</v>
      </c>
      <c r="AB7">
        <f t="shared" si="6"/>
        <v>94.530365048048139</v>
      </c>
      <c r="AC7">
        <f t="shared" si="7"/>
        <v>106.1</v>
      </c>
      <c r="AD7">
        <f t="shared" si="8"/>
        <v>98.102838533495017</v>
      </c>
      <c r="AE7">
        <f t="shared" si="9"/>
        <v>100</v>
      </c>
      <c r="AF7">
        <f t="shared" si="10"/>
        <v>100.35069489544097</v>
      </c>
      <c r="AG7">
        <f t="shared" si="11"/>
        <v>102.17789656309562</v>
      </c>
      <c r="AH7">
        <f t="shared" si="12"/>
        <v>102.13279396871405</v>
      </c>
      <c r="AI7">
        <f t="shared" si="13"/>
        <v>101.00843114715354</v>
      </c>
      <c r="AM7" s="107">
        <v>1</v>
      </c>
      <c r="AN7" s="140" t="s">
        <v>9</v>
      </c>
      <c r="AO7" s="140">
        <v>1</v>
      </c>
      <c r="AP7" s="141" t="str">
        <f>C4</f>
        <v>Australian Listed Equity [G]</v>
      </c>
      <c r="AQ7" s="142" t="s">
        <v>40</v>
      </c>
      <c r="AR7" s="142" t="s">
        <v>77</v>
      </c>
    </row>
    <row r="8" spans="1:69" x14ac:dyDescent="0.2">
      <c r="A8">
        <f>A7+1</f>
        <v>4</v>
      </c>
      <c r="B8" s="1">
        <v>36980</v>
      </c>
      <c r="C8" s="128">
        <v>-4.8465842941375348E-2</v>
      </c>
      <c r="D8" s="212">
        <v>-4.7868380255584708E-2</v>
      </c>
      <c r="E8" s="129">
        <v>-7.817153628652207E-2</v>
      </c>
      <c r="F8" s="129">
        <v>-3.8573256336664419E-2</v>
      </c>
      <c r="G8" s="129">
        <v>0</v>
      </c>
      <c r="H8" s="129">
        <v>-3.3652601604969856E-3</v>
      </c>
      <c r="I8" s="129">
        <v>5.9385397814382124E-3</v>
      </c>
      <c r="J8" s="128">
        <v>7.1923499039800998E-3</v>
      </c>
      <c r="K8" s="128">
        <v>4.820988920355207E-3</v>
      </c>
      <c r="N8" s="60" t="s">
        <v>23</v>
      </c>
      <c r="O8" s="55">
        <f t="shared" ref="O8:W8" ca="1" si="14">(1+O5)^12 - 1</f>
        <v>9.5814102180986849E-2</v>
      </c>
      <c r="P8" s="216">
        <f t="shared" ca="1" si="14"/>
        <v>7.8675627602489362E-2</v>
      </c>
      <c r="Q8" s="55">
        <f t="shared" ca="1" si="14"/>
        <v>0.10782571827984544</v>
      </c>
      <c r="R8" s="55">
        <f t="shared" ca="1" si="14"/>
        <v>7.4602397300153722E-2</v>
      </c>
      <c r="S8" s="55">
        <f t="shared" ca="1" si="14"/>
        <v>7.6323758650694851E-2</v>
      </c>
      <c r="T8" s="55">
        <f t="shared" ca="1" si="14"/>
        <v>5.8331270912751254E-2</v>
      </c>
      <c r="U8" s="55">
        <f t="shared" ca="1" si="14"/>
        <v>4.6283079394658699E-2</v>
      </c>
      <c r="V8" s="55">
        <f t="shared" ca="1" si="14"/>
        <v>5.2095547487801541E-2</v>
      </c>
      <c r="W8" s="55">
        <f t="shared" ca="1" si="14"/>
        <v>3.6848114501428109E-2</v>
      </c>
      <c r="X8" s="56"/>
      <c r="Z8" s="1">
        <f t="shared" si="3"/>
        <v>36980</v>
      </c>
      <c r="AA8">
        <f t="shared" ref="AA8:AA37" si="15">IF($Z8&lt;$B$1,100,AA7*(1+C8))</f>
        <v>99.077779370934735</v>
      </c>
      <c r="AB8">
        <f t="shared" si="6"/>
        <v>90.005349588228938</v>
      </c>
      <c r="AC8">
        <f t="shared" si="7"/>
        <v>97.805999999999997</v>
      </c>
      <c r="AD8">
        <f t="shared" si="8"/>
        <v>94.318692595388114</v>
      </c>
      <c r="AE8">
        <f t="shared" si="9"/>
        <v>100</v>
      </c>
      <c r="AF8">
        <f t="shared" si="10"/>
        <v>100.01298869983115</v>
      </c>
      <c r="AG8">
        <f t="shared" si="11"/>
        <v>102.78468406661923</v>
      </c>
      <c r="AH8">
        <f t="shared" si="12"/>
        <v>102.86736875960815</v>
      </c>
      <c r="AI8">
        <f t="shared" si="13"/>
        <v>101.49539167457644</v>
      </c>
      <c r="AM8" s="108">
        <v>2</v>
      </c>
      <c r="AN8" s="143" t="s">
        <v>143</v>
      </c>
      <c r="AO8" s="143">
        <v>1</v>
      </c>
      <c r="AP8" s="144" t="str">
        <f>D4</f>
        <v>Int'l Listed Equity (Hedged) [G]</v>
      </c>
      <c r="AQ8" s="149" t="s">
        <v>119</v>
      </c>
      <c r="AR8" s="149" t="s">
        <v>76</v>
      </c>
    </row>
    <row r="9" spans="1:69" x14ac:dyDescent="0.2">
      <c r="A9">
        <f>A8+1</f>
        <v>5</v>
      </c>
      <c r="B9" s="1">
        <v>37011</v>
      </c>
      <c r="C9" s="128">
        <v>5.8545313414770428E-2</v>
      </c>
      <c r="D9" s="212">
        <v>6.9750449180569163E-2</v>
      </c>
      <c r="E9" s="129">
        <v>4.7287487475206058E-2</v>
      </c>
      <c r="F9" s="129">
        <v>1.4773319905767135E-2</v>
      </c>
      <c r="G9" s="129">
        <v>0</v>
      </c>
      <c r="H9" s="129">
        <v>6.8831168831169354E-3</v>
      </c>
      <c r="I9" s="129">
        <v>-9.6612007674610201E-3</v>
      </c>
      <c r="J9" s="128">
        <v>-6.3844576933133057E-3</v>
      </c>
      <c r="K9" s="128">
        <v>4.3501952866593641E-3</v>
      </c>
      <c r="N9" s="130" t="s">
        <v>24</v>
      </c>
      <c r="O9" s="67">
        <f t="shared" ref="O9:W9" ca="1" si="16">O6*SQRT(12)</f>
        <v>0.13339979949079686</v>
      </c>
      <c r="P9" s="217">
        <f t="shared" ca="1" si="16"/>
        <v>0.14241855891097729</v>
      </c>
      <c r="Q9" s="67">
        <f t="shared" ca="1" si="16"/>
        <v>0.16347236086024083</v>
      </c>
      <c r="R9" s="67">
        <f t="shared" ca="1" si="16"/>
        <v>0.18276229995996549</v>
      </c>
      <c r="S9" s="67">
        <f t="shared" ca="1" si="16"/>
        <v>0.1024487247993571</v>
      </c>
      <c r="T9" s="67">
        <f t="shared" ca="1" si="16"/>
        <v>4.9500099867318223E-2</v>
      </c>
      <c r="U9" s="67">
        <f t="shared" ca="1" si="16"/>
        <v>3.617276838538714E-2</v>
      </c>
      <c r="V9" s="67">
        <f t="shared" ca="1" si="16"/>
        <v>3.3770398296023865E-2</v>
      </c>
      <c r="W9" s="67">
        <f t="shared" ca="1" si="16"/>
        <v>5.6548490979689723E-3</v>
      </c>
      <c r="X9" s="68"/>
      <c r="Z9" s="1">
        <f t="shared" si="3"/>
        <v>37011</v>
      </c>
      <c r="AA9">
        <f t="shared" si="15"/>
        <v>104.87831901664559</v>
      </c>
      <c r="AB9">
        <f t="shared" si="6"/>
        <v>96.283263150662066</v>
      </c>
      <c r="AC9">
        <f t="shared" si="7"/>
        <v>102.431</v>
      </c>
      <c r="AD9">
        <f t="shared" si="8"/>
        <v>95.712092814193497</v>
      </c>
      <c r="AE9">
        <f t="shared" si="9"/>
        <v>100</v>
      </c>
      <c r="AF9">
        <f t="shared" si="10"/>
        <v>100.70138979088195</v>
      </c>
      <c r="AG9">
        <f t="shared" si="11"/>
        <v>101.79166059803157</v>
      </c>
      <c r="AH9">
        <f t="shared" si="12"/>
        <v>102.21061639573998</v>
      </c>
      <c r="AI9">
        <f t="shared" si="13"/>
        <v>101.93691644905682</v>
      </c>
      <c r="AM9" s="108">
        <v>3</v>
      </c>
      <c r="AN9" s="143" t="s">
        <v>144</v>
      </c>
      <c r="AO9" s="143">
        <v>1</v>
      </c>
      <c r="AP9" s="144" t="str">
        <f>E4</f>
        <v>Int'l Listed Equity (Unhedged) [G]</v>
      </c>
      <c r="AQ9" s="149" t="s">
        <v>116</v>
      </c>
      <c r="AR9" s="149" t="s">
        <v>78</v>
      </c>
    </row>
    <row r="10" spans="1:69" x14ac:dyDescent="0.2">
      <c r="A10">
        <f>A9+1</f>
        <v>6</v>
      </c>
      <c r="B10" s="1">
        <v>37042</v>
      </c>
      <c r="C10" s="128">
        <v>1.7157700457994363E-2</v>
      </c>
      <c r="D10" s="212">
        <v>-7.1021148837043802E-3</v>
      </c>
      <c r="E10" s="129">
        <v>2.2620105241577315E-2</v>
      </c>
      <c r="F10" s="129">
        <v>-3.951903736587048E-3</v>
      </c>
      <c r="G10" s="129">
        <v>0</v>
      </c>
      <c r="H10" s="129">
        <v>8.2548690829356008E-3</v>
      </c>
      <c r="I10" s="129">
        <v>-3.7714166991241749E-3</v>
      </c>
      <c r="J10" s="128">
        <v>5.6125793702823668E-3</v>
      </c>
      <c r="K10" s="128">
        <v>4.0496918952992456E-3</v>
      </c>
      <c r="N10" s="110" t="s">
        <v>66</v>
      </c>
      <c r="O10" s="131">
        <v>1</v>
      </c>
      <c r="P10" s="218">
        <f t="shared" ref="P10:W10" si="17">O10+1</f>
        <v>2</v>
      </c>
      <c r="Q10" s="132">
        <f t="shared" si="17"/>
        <v>3</v>
      </c>
      <c r="R10" s="132">
        <f t="shared" si="17"/>
        <v>4</v>
      </c>
      <c r="S10" s="132">
        <f t="shared" si="17"/>
        <v>5</v>
      </c>
      <c r="T10" s="132">
        <f t="shared" si="17"/>
        <v>6</v>
      </c>
      <c r="U10" s="132">
        <f t="shared" si="17"/>
        <v>7</v>
      </c>
      <c r="V10" s="132">
        <f t="shared" si="17"/>
        <v>8</v>
      </c>
      <c r="W10" s="132">
        <f t="shared" si="17"/>
        <v>9</v>
      </c>
      <c r="X10" s="133"/>
      <c r="Z10" s="1">
        <f t="shared" si="3"/>
        <v>37042</v>
      </c>
      <c r="AA10">
        <f t="shared" si="15"/>
        <v>106.67778979887117</v>
      </c>
      <c r="AB10">
        <f t="shared" si="6"/>
        <v>95.59944835438813</v>
      </c>
      <c r="AC10">
        <f t="shared" si="7"/>
        <v>104.748</v>
      </c>
      <c r="AD10">
        <f t="shared" si="8"/>
        <v>95.333847836964523</v>
      </c>
      <c r="AE10">
        <f t="shared" si="9"/>
        <v>100</v>
      </c>
      <c r="AF10">
        <f t="shared" si="10"/>
        <v>101.53266658007534</v>
      </c>
      <c r="AG10">
        <f t="shared" si="11"/>
        <v>101.40776182942058</v>
      </c>
      <c r="AH10">
        <f t="shared" si="12"/>
        <v>102.78428159274655</v>
      </c>
      <c r="AI10">
        <f t="shared" si="13"/>
        <v>102.34972955343237</v>
      </c>
      <c r="AM10" s="108">
        <v>4</v>
      </c>
      <c r="AN10" s="143" t="s">
        <v>65</v>
      </c>
      <c r="AO10" s="143">
        <v>1</v>
      </c>
      <c r="AP10" s="144" t="str">
        <f>F4</f>
        <v>Australian Listed Property [G]</v>
      </c>
      <c r="AQ10" s="149" t="s">
        <v>122</v>
      </c>
      <c r="AR10" s="149" t="s">
        <v>79</v>
      </c>
    </row>
    <row r="11" spans="1:69" x14ac:dyDescent="0.2">
      <c r="A11">
        <f t="shared" ref="A11:A74" si="18">A10+1</f>
        <v>7</v>
      </c>
      <c r="B11" s="1">
        <v>37071</v>
      </c>
      <c r="C11" s="128">
        <v>3.7768817204301142E-2</v>
      </c>
      <c r="D11" s="212">
        <v>-2.54015012241533E-2</v>
      </c>
      <c r="E11" s="129">
        <v>-1.7355939970214229E-2</v>
      </c>
      <c r="F11" s="129">
        <v>5.4985722037879103E-2</v>
      </c>
      <c r="G11" s="129">
        <v>0</v>
      </c>
      <c r="H11" s="129">
        <v>5.8419683595583027E-3</v>
      </c>
      <c r="I11" s="129">
        <v>6.7990155902353244E-4</v>
      </c>
      <c r="J11" s="128">
        <v>6.5246565149243985E-3</v>
      </c>
      <c r="K11" s="128">
        <v>4.0089560763587606E-3</v>
      </c>
      <c r="Z11" s="1">
        <f t="shared" si="3"/>
        <v>37071</v>
      </c>
      <c r="AA11">
        <f t="shared" si="15"/>
        <v>110.70688374154361</v>
      </c>
      <c r="AB11">
        <f t="shared" si="6"/>
        <v>93.171078849985761</v>
      </c>
      <c r="AC11">
        <f t="shared" si="7"/>
        <v>102.93</v>
      </c>
      <c r="AD11">
        <f t="shared" si="8"/>
        <v>100.57584829492932</v>
      </c>
      <c r="AE11">
        <f t="shared" si="9"/>
        <v>100</v>
      </c>
      <c r="AF11">
        <f t="shared" si="10"/>
        <v>102.12581720569773</v>
      </c>
      <c r="AG11">
        <f t="shared" si="11"/>
        <v>101.47670912478549</v>
      </c>
      <c r="AH11">
        <f t="shared" si="12"/>
        <v>103.45491372527249</v>
      </c>
      <c r="AI11">
        <f t="shared" si="13"/>
        <v>102.76004512363927</v>
      </c>
      <c r="AM11" s="108">
        <v>5</v>
      </c>
      <c r="AN11" s="143" t="s">
        <v>145</v>
      </c>
      <c r="AO11" s="143">
        <v>1</v>
      </c>
      <c r="AP11" s="144" t="str">
        <f>G4</f>
        <v>Int'l Listed Property [G]</v>
      </c>
      <c r="AQ11" s="144" t="s">
        <v>125</v>
      </c>
      <c r="AR11" s="149" t="s">
        <v>60</v>
      </c>
    </row>
    <row r="12" spans="1:69" x14ac:dyDescent="0.2">
      <c r="A12">
        <f t="shared" si="18"/>
        <v>8</v>
      </c>
      <c r="B12" s="1">
        <v>37103</v>
      </c>
      <c r="C12" s="128">
        <v>-4.7444396039137748E-2</v>
      </c>
      <c r="D12" s="212">
        <v>-2.1280574463310553E-2</v>
      </c>
      <c r="E12" s="129">
        <v>-5.3026328572816639E-2</v>
      </c>
      <c r="F12" s="129">
        <v>3.8788451160276516E-4</v>
      </c>
      <c r="G12" s="129">
        <v>0</v>
      </c>
      <c r="H12" s="129">
        <v>-2.1197218924873251E-4</v>
      </c>
      <c r="I12" s="129">
        <v>4.1614622641377164E-3</v>
      </c>
      <c r="J12" s="128">
        <v>1.2291134450243879E-2</v>
      </c>
      <c r="K12" s="128">
        <v>4.2208470060129955E-3</v>
      </c>
      <c r="N12" t="s">
        <v>42</v>
      </c>
      <c r="O12" s="74">
        <f t="shared" ref="O12:W12" si="19">AVERAGE(C5:C211)</f>
        <v>7.2617065651348761E-3</v>
      </c>
      <c r="P12" s="74">
        <f t="shared" si="19"/>
        <v>4.6082748932088436E-3</v>
      </c>
      <c r="Q12" s="74">
        <f t="shared" si="19"/>
        <v>9.9820750528757021E-3</v>
      </c>
      <c r="R12" s="74">
        <f t="shared" si="19"/>
        <v>5.3432989257418085E-3</v>
      </c>
      <c r="S12" s="74">
        <f t="shared" si="19"/>
        <v>5.8656129324208125E-3</v>
      </c>
      <c r="T12" s="74">
        <f t="shared" si="19"/>
        <v>4.7208990060149097E-3</v>
      </c>
      <c r="U12" s="74">
        <f t="shared" si="19"/>
        <v>4.666990823506449E-3</v>
      </c>
      <c r="V12" s="74">
        <f t="shared" si="19"/>
        <v>5.6543437720596324E-3</v>
      </c>
      <c r="W12" s="74">
        <f t="shared" si="19"/>
        <v>3.5770552213687471E-3</v>
      </c>
      <c r="X12" s="74"/>
      <c r="Z12" s="1">
        <f t="shared" si="3"/>
        <v>37103</v>
      </c>
      <c r="AA12">
        <f t="shared" si="15"/>
        <v>105.45446250505103</v>
      </c>
      <c r="AB12">
        <f t="shared" si="6"/>
        <v>91.188344768691664</v>
      </c>
      <c r="AC12">
        <f t="shared" si="7"/>
        <v>97.471999999999994</v>
      </c>
      <c r="AD12">
        <f t="shared" si="8"/>
        <v>100.61486010872423</v>
      </c>
      <c r="AE12">
        <f t="shared" si="9"/>
        <v>100</v>
      </c>
      <c r="AF12">
        <f t="shared" si="10"/>
        <v>102.10416937264583</v>
      </c>
      <c r="AG12">
        <f t="shared" si="11"/>
        <v>101.89900062049716</v>
      </c>
      <c r="AH12">
        <f t="shared" si="12"/>
        <v>104.72649197940819</v>
      </c>
      <c r="AI12">
        <f t="shared" si="13"/>
        <v>103.19377955243715</v>
      </c>
      <c r="AM12" s="108">
        <v>6</v>
      </c>
      <c r="AN12" s="143" t="s">
        <v>92</v>
      </c>
      <c r="AO12" s="143">
        <v>1</v>
      </c>
      <c r="AP12" s="144" t="str">
        <f>H4</f>
        <v>Int'l Listed Infrastructure [G]</v>
      </c>
      <c r="AQ12" s="149" t="s">
        <v>128</v>
      </c>
      <c r="AR12" s="145" t="s">
        <v>80</v>
      </c>
    </row>
    <row r="13" spans="1:69" x14ac:dyDescent="0.2">
      <c r="A13">
        <f t="shared" si="18"/>
        <v>9</v>
      </c>
      <c r="B13" s="1">
        <v>37134</v>
      </c>
      <c r="C13" s="128">
        <v>-9.5807865119929003E-3</v>
      </c>
      <c r="D13" s="212">
        <v>-6.2263757946048326E-2</v>
      </c>
      <c r="E13" s="129">
        <v>-6.7711753118844253E-3</v>
      </c>
      <c r="F13" s="129">
        <v>4.8416190428024697E-2</v>
      </c>
      <c r="G13" s="129">
        <v>0</v>
      </c>
      <c r="H13" s="129">
        <v>9.1591400585167015E-3</v>
      </c>
      <c r="I13" s="129">
        <v>2.6625246880998876E-2</v>
      </c>
      <c r="J13" s="128">
        <v>9.4510096767734808E-3</v>
      </c>
      <c r="K13" s="128">
        <v>4.4320263512567237E-3</v>
      </c>
      <c r="Z13" s="1">
        <f t="shared" si="3"/>
        <v>37134</v>
      </c>
      <c r="AA13">
        <f t="shared" si="15"/>
        <v>104.44412581305318</v>
      </c>
      <c r="AB13">
        <f t="shared" si="6"/>
        <v>85.510615742513039</v>
      </c>
      <c r="AC13">
        <f t="shared" si="7"/>
        <v>96.811999999999998</v>
      </c>
      <c r="AD13">
        <f t="shared" si="8"/>
        <v>105.48624833563728</v>
      </c>
      <c r="AE13">
        <f t="shared" si="9"/>
        <v>100</v>
      </c>
      <c r="AF13">
        <f t="shared" si="10"/>
        <v>103.03935576048841</v>
      </c>
      <c r="AG13">
        <f t="shared" si="11"/>
        <v>104.61208666894495</v>
      </c>
      <c r="AH13">
        <f t="shared" si="12"/>
        <v>105.71626306852012</v>
      </c>
      <c r="AI13">
        <f t="shared" si="13"/>
        <v>103.65113710269932</v>
      </c>
      <c r="AM13" s="108">
        <v>7</v>
      </c>
      <c r="AN13" s="143" t="s">
        <v>41</v>
      </c>
      <c r="AO13" s="143">
        <v>0</v>
      </c>
      <c r="AP13" s="144" t="str">
        <f>I4</f>
        <v>Australian Fixed Income [D]</v>
      </c>
      <c r="AQ13" s="149" t="s">
        <v>81</v>
      </c>
      <c r="AR13" s="149" t="s">
        <v>62</v>
      </c>
    </row>
    <row r="14" spans="1:69" x14ac:dyDescent="0.2">
      <c r="A14">
        <f t="shared" si="18"/>
        <v>10</v>
      </c>
      <c r="B14" s="1">
        <v>37162</v>
      </c>
      <c r="C14" s="128">
        <v>-6.5703688172687125E-2</v>
      </c>
      <c r="D14" s="212">
        <v>-8.8998934175432365E-2</v>
      </c>
      <c r="E14" s="129">
        <v>-0.13372309217865552</v>
      </c>
      <c r="F14" s="129">
        <v>-2.0742551172998613E-3</v>
      </c>
      <c r="G14" s="129">
        <v>0</v>
      </c>
      <c r="H14" s="129">
        <v>-8.3196772973654909E-3</v>
      </c>
      <c r="I14" s="129">
        <v>1.141925803703292E-2</v>
      </c>
      <c r="J14" s="128">
        <v>8.455246861879262E-3</v>
      </c>
      <c r="K14" s="128">
        <v>4.286951976623099E-3</v>
      </c>
      <c r="Z14" s="1">
        <f t="shared" si="3"/>
        <v>37162</v>
      </c>
      <c r="AA14">
        <f t="shared" si="15"/>
        <v>97.581761539163423</v>
      </c>
      <c r="AB14">
        <f t="shared" si="6"/>
        <v>77.900262080744426</v>
      </c>
      <c r="AC14">
        <f t="shared" si="7"/>
        <v>83.866</v>
      </c>
      <c r="AD14">
        <f t="shared" si="8"/>
        <v>105.26744294522233</v>
      </c>
      <c r="AE14">
        <f t="shared" si="9"/>
        <v>100</v>
      </c>
      <c r="AF14">
        <f t="shared" si="10"/>
        <v>102.1821015716327</v>
      </c>
      <c r="AG14">
        <f t="shared" si="11"/>
        <v>105.80667908041009</v>
      </c>
      <c r="AH14">
        <f t="shared" si="12"/>
        <v>106.61012017007982</v>
      </c>
      <c r="AI14">
        <f t="shared" si="13"/>
        <v>104.09548454978098</v>
      </c>
      <c r="AM14" s="108">
        <v>8</v>
      </c>
      <c r="AN14" s="143" t="s">
        <v>146</v>
      </c>
      <c r="AO14" s="143">
        <v>0</v>
      </c>
      <c r="AP14" s="144" t="str">
        <f>J4</f>
        <v>Int'l Fixed Income (Hedged) [D]</v>
      </c>
      <c r="AQ14" s="149" t="s">
        <v>130</v>
      </c>
      <c r="AR14" s="149" t="s">
        <v>82</v>
      </c>
    </row>
    <row r="15" spans="1:69" x14ac:dyDescent="0.2">
      <c r="A15">
        <f t="shared" si="18"/>
        <v>11</v>
      </c>
      <c r="B15" s="1">
        <v>37195</v>
      </c>
      <c r="C15" s="128">
        <v>6.7653997098653607E-2</v>
      </c>
      <c r="D15" s="212">
        <v>2.5292817951058755E-2</v>
      </c>
      <c r="E15" s="129">
        <v>6.4579209691650874E-2</v>
      </c>
      <c r="F15" s="129">
        <v>2.3685991427926378E-3</v>
      </c>
      <c r="G15" s="129">
        <v>0</v>
      </c>
      <c r="H15" s="129">
        <v>4.4065929409771165E-3</v>
      </c>
      <c r="I15" s="129">
        <v>1.6334505413631684E-2</v>
      </c>
      <c r="J15" s="128">
        <v>1.9456947351314202E-2</v>
      </c>
      <c r="K15" s="128">
        <v>3.7862747590771129E-3</v>
      </c>
      <c r="Z15" s="1">
        <f t="shared" si="3"/>
        <v>37195</v>
      </c>
      <c r="AA15">
        <f t="shared" si="15"/>
        <v>104.18355775121549</v>
      </c>
      <c r="AB15">
        <f t="shared" si="6"/>
        <v>79.870579227892463</v>
      </c>
      <c r="AC15">
        <f t="shared" si="7"/>
        <v>89.281999999999996</v>
      </c>
      <c r="AD15">
        <f t="shared" si="8"/>
        <v>105.51677932034636</v>
      </c>
      <c r="AE15">
        <f t="shared" si="9"/>
        <v>100</v>
      </c>
      <c r="AF15">
        <f t="shared" si="10"/>
        <v>102.63237649911247</v>
      </c>
      <c r="AG15">
        <f t="shared" si="11"/>
        <v>107.53497885264744</v>
      </c>
      <c r="AH15">
        <f t="shared" si="12"/>
        <v>108.68442766534635</v>
      </c>
      <c r="AI15">
        <f t="shared" si="13"/>
        <v>104.48961865546572</v>
      </c>
      <c r="AM15" s="108">
        <v>9</v>
      </c>
      <c r="AN15" s="143" t="s">
        <v>84</v>
      </c>
      <c r="AO15" s="143">
        <v>0</v>
      </c>
      <c r="AP15" s="144" t="str">
        <f>K4</f>
        <v>Cash [D]</v>
      </c>
      <c r="AQ15" s="149" t="s">
        <v>83</v>
      </c>
      <c r="AR15" s="149" t="s">
        <v>61</v>
      </c>
    </row>
    <row r="16" spans="1:69" x14ac:dyDescent="0.2">
      <c r="A16">
        <f t="shared" si="18"/>
        <v>12</v>
      </c>
      <c r="B16" s="1">
        <v>37225</v>
      </c>
      <c r="C16" s="128">
        <v>3.314295008539081E-2</v>
      </c>
      <c r="D16" s="212">
        <v>6.2491282079642607E-2</v>
      </c>
      <c r="E16" s="129">
        <v>0.10115140789856869</v>
      </c>
      <c r="F16" s="129">
        <v>-6.6147985018245592E-3</v>
      </c>
      <c r="G16" s="129">
        <v>0</v>
      </c>
      <c r="H16" s="129">
        <v>5.3997047036489221E-3</v>
      </c>
      <c r="I16" s="129">
        <v>-1.069963210737801E-2</v>
      </c>
      <c r="J16" s="128">
        <v>-6.5060141217585521E-3</v>
      </c>
      <c r="K16" s="128">
        <v>3.5708030728134332E-3</v>
      </c>
      <c r="Z16" s="1">
        <f t="shared" si="3"/>
        <v>37225</v>
      </c>
      <c r="AA16">
        <f t="shared" si="15"/>
        <v>107.63650820548246</v>
      </c>
      <c r="AB16">
        <f t="shared" si="6"/>
        <v>84.86179412428713</v>
      </c>
      <c r="AC16">
        <f t="shared" si="7"/>
        <v>98.313000000000002</v>
      </c>
      <c r="AD16">
        <f t="shared" si="8"/>
        <v>104.81880708658078</v>
      </c>
      <c r="AE16">
        <f t="shared" si="9"/>
        <v>100</v>
      </c>
      <c r="AF16">
        <f t="shared" si="10"/>
        <v>103.18656102524139</v>
      </c>
      <c r="AG16">
        <f t="shared" si="11"/>
        <v>106.38439414024944</v>
      </c>
      <c r="AH16">
        <f t="shared" si="12"/>
        <v>107.97732524414036</v>
      </c>
      <c r="AI16">
        <f t="shared" si="13"/>
        <v>104.86273050683776</v>
      </c>
      <c r="AM16" s="109"/>
      <c r="AN16" s="146"/>
      <c r="AO16" s="146"/>
      <c r="AP16" s="147"/>
      <c r="AQ16" s="147"/>
      <c r="AR16" s="148"/>
    </row>
    <row r="17" spans="1:48" x14ac:dyDescent="0.2">
      <c r="A17">
        <f t="shared" si="18"/>
        <v>13</v>
      </c>
      <c r="B17" s="1">
        <v>37256</v>
      </c>
      <c r="C17" s="128">
        <v>2.6496963385023609E-2</v>
      </c>
      <c r="D17" s="212">
        <v>1.0930586151236543E-2</v>
      </c>
      <c r="E17" s="129">
        <v>9.482977836094908E-2</v>
      </c>
      <c r="F17" s="129">
        <v>3.2598406084388465E-2</v>
      </c>
      <c r="G17" s="129">
        <v>0</v>
      </c>
      <c r="H17" s="129">
        <v>1.191625057693102E-2</v>
      </c>
      <c r="I17" s="129">
        <v>-8.7858663105845336E-3</v>
      </c>
      <c r="J17" s="128">
        <v>-5.4883584037219713E-3</v>
      </c>
      <c r="K17" s="128">
        <v>3.6228485350060513E-3</v>
      </c>
      <c r="Z17" s="1">
        <f t="shared" si="3"/>
        <v>37256</v>
      </c>
      <c r="AA17">
        <f t="shared" si="15"/>
        <v>110.48854882229492</v>
      </c>
      <c r="AB17">
        <f t="shared" si="6"/>
        <v>85.789383275911149</v>
      </c>
      <c r="AC17">
        <f t="shared" si="7"/>
        <v>107.636</v>
      </c>
      <c r="AD17">
        <f t="shared" si="8"/>
        <v>108.23573312527031</v>
      </c>
      <c r="AE17">
        <f t="shared" si="9"/>
        <v>100</v>
      </c>
      <c r="AF17">
        <f t="shared" si="10"/>
        <v>104.41615794258995</v>
      </c>
      <c r="AG17">
        <f t="shared" si="11"/>
        <v>105.44971507580068</v>
      </c>
      <c r="AH17">
        <f t="shared" si="12"/>
        <v>107.38470698372527</v>
      </c>
      <c r="AI17">
        <f t="shared" si="13"/>
        <v>105.2426322964312</v>
      </c>
    </row>
    <row r="18" spans="1:48" x14ac:dyDescent="0.2">
      <c r="A18">
        <f t="shared" si="18"/>
        <v>14</v>
      </c>
      <c r="B18" s="1">
        <v>37287</v>
      </c>
      <c r="C18" s="128">
        <v>1.2900599904440035E-2</v>
      </c>
      <c r="D18" s="212">
        <v>-1.9522389391719575E-2</v>
      </c>
      <c r="E18" s="129">
        <v>4.0330372737745757E-2</v>
      </c>
      <c r="F18" s="129">
        <v>6.4251238011658884E-4</v>
      </c>
      <c r="G18" s="129">
        <v>0</v>
      </c>
      <c r="H18" s="129">
        <v>5.3903885226189718E-3</v>
      </c>
      <c r="I18" s="129">
        <v>4.7301401013433164E-4</v>
      </c>
      <c r="J18" s="128">
        <v>4.3125848499732111E-3</v>
      </c>
      <c r="K18" s="128">
        <v>3.5651467231740952E-3</v>
      </c>
      <c r="Z18" s="1">
        <f t="shared" si="3"/>
        <v>37287</v>
      </c>
      <c r="AA18">
        <f t="shared" si="15"/>
        <v>111.91391738467354</v>
      </c>
      <c r="AB18">
        <f t="shared" si="6"/>
        <v>84.11456952992333</v>
      </c>
      <c r="AC18">
        <f t="shared" si="7"/>
        <v>111.977</v>
      </c>
      <c r="AD18">
        <f t="shared" si="8"/>
        <v>108.30527592377429</v>
      </c>
      <c r="AE18">
        <f t="shared" si="9"/>
        <v>100</v>
      </c>
      <c r="AF18">
        <f t="shared" si="10"/>
        <v>104.97900160193966</v>
      </c>
      <c r="AG18">
        <f t="shared" si="11"/>
        <v>105.49959426839621</v>
      </c>
      <c r="AH18">
        <f t="shared" si="12"/>
        <v>107.8478126441821</v>
      </c>
      <c r="AI18">
        <f t="shared" si="13"/>
        <v>105.61783772210103</v>
      </c>
      <c r="AO18" t="s">
        <v>87</v>
      </c>
    </row>
    <row r="19" spans="1:48" x14ac:dyDescent="0.2">
      <c r="A19">
        <f t="shared" si="18"/>
        <v>15</v>
      </c>
      <c r="B19" s="1">
        <v>37315</v>
      </c>
      <c r="C19" s="128">
        <v>-1.1128970264509763E-2</v>
      </c>
      <c r="D19" s="212">
        <v>-1.00427804241634E-2</v>
      </c>
      <c r="E19" s="129">
        <v>1.8485939076774649E-2</v>
      </c>
      <c r="F19" s="129">
        <v>-2.1619970870593308E-2</v>
      </c>
      <c r="G19" s="129">
        <v>0</v>
      </c>
      <c r="H19" s="129">
        <v>-5.6089413123272536E-3</v>
      </c>
      <c r="I19" s="129">
        <v>5.7653408994200461E-3</v>
      </c>
      <c r="J19" s="128">
        <v>5.1541221882873689E-3</v>
      </c>
      <c r="K19" s="128">
        <v>3.2932553651769947E-3</v>
      </c>
      <c r="Z19" s="1">
        <f t="shared" si="3"/>
        <v>37315</v>
      </c>
      <c r="AA19">
        <f t="shared" si="15"/>
        <v>110.6684307259147</v>
      </c>
      <c r="AB19">
        <f t="shared" si="6"/>
        <v>83.269825377661277</v>
      </c>
      <c r="AC19">
        <f t="shared" si="7"/>
        <v>114.047</v>
      </c>
      <c r="AD19">
        <f t="shared" si="8"/>
        <v>105.96371901317072</v>
      </c>
      <c r="AE19">
        <f t="shared" si="9"/>
        <v>100</v>
      </c>
      <c r="AF19">
        <f t="shared" si="10"/>
        <v>104.39018054292767</v>
      </c>
      <c r="AG19">
        <f t="shared" si="11"/>
        <v>106.10783539410401</v>
      </c>
      <c r="AH19">
        <f t="shared" si="12"/>
        <v>108.40367344828974</v>
      </c>
      <c r="AI19">
        <f t="shared" si="13"/>
        <v>105.96566423283774</v>
      </c>
      <c r="AO19" t="s">
        <v>88</v>
      </c>
    </row>
    <row r="20" spans="1:48" x14ac:dyDescent="0.2">
      <c r="A20">
        <f t="shared" si="18"/>
        <v>16</v>
      </c>
      <c r="B20" s="1">
        <v>37344</v>
      </c>
      <c r="C20" s="128">
        <v>6.4957627368185111E-3</v>
      </c>
      <c r="D20" s="212">
        <v>3.9896125083694001E-2</v>
      </c>
      <c r="E20" s="129">
        <v>5.6090909888028673E-2</v>
      </c>
      <c r="F20" s="129">
        <v>1.0788747048701364E-2</v>
      </c>
      <c r="G20" s="129">
        <v>0</v>
      </c>
      <c r="H20" s="129">
        <v>7.3825225001036276E-3</v>
      </c>
      <c r="I20" s="129">
        <v>-8.5944091615676177E-3</v>
      </c>
      <c r="J20" s="128">
        <v>-6.7683434026973854E-3</v>
      </c>
      <c r="K20" s="128">
        <v>3.4829509782516865E-3</v>
      </c>
      <c r="Z20" s="1">
        <f t="shared" si="3"/>
        <v>37344</v>
      </c>
      <c r="AA20">
        <f t="shared" si="15"/>
        <v>111.38730659436628</v>
      </c>
      <c r="AB20">
        <f t="shared" si="6"/>
        <v>86.59196874662581</v>
      </c>
      <c r="AC20">
        <f t="shared" si="7"/>
        <v>120.444</v>
      </c>
      <c r="AD20">
        <f t="shared" si="8"/>
        <v>107.10693477394348</v>
      </c>
      <c r="AE20">
        <f t="shared" si="9"/>
        <v>100</v>
      </c>
      <c r="AF20">
        <f t="shared" si="10"/>
        <v>105.16084339957571</v>
      </c>
      <c r="AG20">
        <f t="shared" si="11"/>
        <v>105.19590124147882</v>
      </c>
      <c r="AH20">
        <f t="shared" si="12"/>
        <v>107.66996016027784</v>
      </c>
      <c r="AI20">
        <f t="shared" si="13"/>
        <v>106.33473744673859</v>
      </c>
    </row>
    <row r="21" spans="1:48" x14ac:dyDescent="0.2">
      <c r="A21">
        <f t="shared" si="18"/>
        <v>17</v>
      </c>
      <c r="B21" s="1">
        <v>37376</v>
      </c>
      <c r="C21" s="128">
        <v>-1.8015751348694486E-2</v>
      </c>
      <c r="D21" s="212">
        <v>-4.5864586651371164E-2</v>
      </c>
      <c r="E21" s="129">
        <v>-2.5489023944738065E-3</v>
      </c>
      <c r="F21" s="129">
        <v>6.6116095112158657E-3</v>
      </c>
      <c r="G21" s="129">
        <v>0</v>
      </c>
      <c r="H21" s="129">
        <v>7.9459837786652887E-3</v>
      </c>
      <c r="I21" s="129">
        <v>1.4437892973127031E-2</v>
      </c>
      <c r="J21" s="128">
        <v>1.3874306218011334E-2</v>
      </c>
      <c r="K21" s="128">
        <v>3.7773699163208274E-3</v>
      </c>
      <c r="Z21" s="1">
        <f t="shared" si="3"/>
        <v>37376</v>
      </c>
      <c r="AA21">
        <f t="shared" si="15"/>
        <v>109.38058057536138</v>
      </c>
      <c r="AB21">
        <f t="shared" si="6"/>
        <v>82.620463892733369</v>
      </c>
      <c r="AC21">
        <f t="shared" si="7"/>
        <v>120.137</v>
      </c>
      <c r="AD21">
        <f t="shared" si="8"/>
        <v>107.81508400261207</v>
      </c>
      <c r="AE21">
        <f t="shared" si="9"/>
        <v>100</v>
      </c>
      <c r="AF21">
        <f t="shared" si="10"/>
        <v>105.9964497553795</v>
      </c>
      <c r="AG21">
        <f t="shared" si="11"/>
        <v>106.71470840481493</v>
      </c>
      <c r="AH21">
        <f t="shared" si="12"/>
        <v>109.16380615802261</v>
      </c>
      <c r="AI21">
        <f t="shared" si="13"/>
        <v>106.73640308502976</v>
      </c>
    </row>
    <row r="22" spans="1:48" x14ac:dyDescent="0.2">
      <c r="A22">
        <f t="shared" si="18"/>
        <v>18</v>
      </c>
      <c r="B22" s="1">
        <v>37407</v>
      </c>
      <c r="C22" s="128">
        <v>8.4670523813210607E-3</v>
      </c>
      <c r="D22" s="212">
        <v>-1.0922375514204608E-2</v>
      </c>
      <c r="E22" s="129">
        <v>-2.914172985841168E-2</v>
      </c>
      <c r="F22" s="129">
        <v>1.0312441004342254E-2</v>
      </c>
      <c r="G22" s="129">
        <v>0</v>
      </c>
      <c r="H22" s="129">
        <v>6.7396454538029005E-3</v>
      </c>
      <c r="I22" s="129">
        <v>-2.704817042243679E-3</v>
      </c>
      <c r="J22" s="128">
        <v>4.6903813422962681E-3</v>
      </c>
      <c r="K22" s="128">
        <v>3.7041834495290527E-3</v>
      </c>
      <c r="Z22" s="1">
        <f t="shared" si="3"/>
        <v>37407</v>
      </c>
      <c r="AA22">
        <f t="shared" si="15"/>
        <v>110.30671168059227</v>
      </c>
      <c r="AB22">
        <f t="shared" si="6"/>
        <v>81.718052160939152</v>
      </c>
      <c r="AC22">
        <f t="shared" si="7"/>
        <v>116.636</v>
      </c>
      <c r="AD22">
        <f t="shared" si="8"/>
        <v>108.92692069576721</v>
      </c>
      <c r="AE22">
        <f t="shared" si="9"/>
        <v>100</v>
      </c>
      <c r="AF22">
        <f t="shared" si="10"/>
        <v>106.71082824609259</v>
      </c>
      <c r="AG22">
        <f t="shared" si="11"/>
        <v>106.42606464286352</v>
      </c>
      <c r="AH22">
        <f t="shared" si="12"/>
        <v>109.67582603768024</v>
      </c>
      <c r="AI22">
        <f t="shared" si="13"/>
        <v>107.1317743027996</v>
      </c>
    </row>
    <row r="23" spans="1:48" x14ac:dyDescent="0.2">
      <c r="A23">
        <f t="shared" si="18"/>
        <v>19</v>
      </c>
      <c r="B23" s="1">
        <v>37435</v>
      </c>
      <c r="C23" s="128">
        <v>-4.1932548685951865E-2</v>
      </c>
      <c r="D23" s="212">
        <v>-7.735439071060235E-2</v>
      </c>
      <c r="E23" s="129">
        <v>-6.4568400836791273E-2</v>
      </c>
      <c r="F23" s="129">
        <v>-6.524498010728963E-3</v>
      </c>
      <c r="G23" s="129">
        <v>0</v>
      </c>
      <c r="H23" s="129">
        <v>-8.4391609526515143E-3</v>
      </c>
      <c r="I23" s="129">
        <v>1.2692511436999121E-2</v>
      </c>
      <c r="J23" s="128">
        <v>1.563492783879461E-2</v>
      </c>
      <c r="K23" s="128">
        <v>3.8959648198448882E-3</v>
      </c>
      <c r="Z23" s="1">
        <f t="shared" si="3"/>
        <v>37435</v>
      </c>
      <c r="AA23">
        <f t="shared" si="15"/>
        <v>105.68127012265859</v>
      </c>
      <c r="AB23">
        <f t="shared" si="6"/>
        <v>75.396802025972477</v>
      </c>
      <c r="AC23">
        <f t="shared" si="7"/>
        <v>109.105</v>
      </c>
      <c r="AD23">
        <f t="shared" si="8"/>
        <v>108.21622721837285</v>
      </c>
      <c r="AE23">
        <f t="shared" si="9"/>
        <v>100</v>
      </c>
      <c r="AF23">
        <f t="shared" si="10"/>
        <v>105.81027839113307</v>
      </c>
      <c r="AG23">
        <f t="shared" si="11"/>
        <v>107.77687868553788</v>
      </c>
      <c r="AH23">
        <f t="shared" si="12"/>
        <v>111.39059966343956</v>
      </c>
      <c r="AI23">
        <f t="shared" si="13"/>
        <v>107.54915592657086</v>
      </c>
    </row>
    <row r="24" spans="1:48" x14ac:dyDescent="0.2">
      <c r="A24">
        <f t="shared" si="18"/>
        <v>20</v>
      </c>
      <c r="B24" s="1">
        <v>37468</v>
      </c>
      <c r="C24" s="128">
        <v>-4.0227935689573391E-2</v>
      </c>
      <c r="D24" s="212">
        <v>-8.4373535385096066E-2</v>
      </c>
      <c r="E24" s="129">
        <v>-6.5221575546491883E-2</v>
      </c>
      <c r="F24" s="129">
        <v>-2.0407363578655358E-2</v>
      </c>
      <c r="G24" s="129">
        <v>0</v>
      </c>
      <c r="H24" s="129">
        <v>-1.3462089283522216E-2</v>
      </c>
      <c r="I24" s="129">
        <v>1.0319922080264332E-2</v>
      </c>
      <c r="J24" s="128">
        <v>1.4983474866845148E-2</v>
      </c>
      <c r="K24" s="128">
        <v>4.3835501877231842E-3</v>
      </c>
      <c r="Z24" s="1">
        <f t="shared" si="3"/>
        <v>37468</v>
      </c>
      <c r="AA24">
        <f t="shared" si="15"/>
        <v>101.42993078457185</v>
      </c>
      <c r="AB24">
        <f t="shared" si="6"/>
        <v>69.03530728231101</v>
      </c>
      <c r="AC24">
        <f t="shared" si="7"/>
        <v>101.989</v>
      </c>
      <c r="AD24">
        <f t="shared" si="8"/>
        <v>106.00781932441714</v>
      </c>
      <c r="AE24">
        <f t="shared" si="9"/>
        <v>100</v>
      </c>
      <c r="AF24">
        <f t="shared" si="10"/>
        <v>104.38585097631729</v>
      </c>
      <c r="AG24">
        <f t="shared" si="11"/>
        <v>108.88912767562674</v>
      </c>
      <c r="AH24">
        <f t="shared" si="12"/>
        <v>113.05961791389952</v>
      </c>
      <c r="AI24">
        <f t="shared" si="13"/>
        <v>108.02060304922225</v>
      </c>
      <c r="AN24" s="140" t="s">
        <v>9</v>
      </c>
      <c r="AO24" s="143" t="s">
        <v>143</v>
      </c>
      <c r="AP24" s="143" t="s">
        <v>144</v>
      </c>
      <c r="AQ24" s="143" t="s">
        <v>65</v>
      </c>
      <c r="AR24" s="143" t="s">
        <v>145</v>
      </c>
      <c r="AS24" s="143" t="s">
        <v>92</v>
      </c>
      <c r="AT24" s="143" t="s">
        <v>41</v>
      </c>
      <c r="AU24" s="143" t="s">
        <v>146</v>
      </c>
      <c r="AV24" s="143" t="s">
        <v>84</v>
      </c>
    </row>
    <row r="25" spans="1:48" x14ac:dyDescent="0.2">
      <c r="A25">
        <f t="shared" si="18"/>
        <v>21</v>
      </c>
      <c r="B25" s="1">
        <v>37498</v>
      </c>
      <c r="C25" s="128">
        <v>1.6250289151052533E-2</v>
      </c>
      <c r="D25" s="212">
        <v>1.6415213184495236E-3</v>
      </c>
      <c r="E25" s="129">
        <v>1.2638617890164738E-2</v>
      </c>
      <c r="F25" s="129">
        <v>8.2721985327647296E-3</v>
      </c>
      <c r="G25" s="129">
        <v>0</v>
      </c>
      <c r="H25" s="129">
        <v>8.4612194110327277E-3</v>
      </c>
      <c r="I25" s="129">
        <v>1.042941091784777E-2</v>
      </c>
      <c r="J25" s="128">
        <v>1.676377804757867E-2</v>
      </c>
      <c r="K25" s="128">
        <v>4.1320726818048215E-3</v>
      </c>
      <c r="Z25" s="1">
        <f t="shared" si="3"/>
        <v>37498</v>
      </c>
      <c r="AA25">
        <f t="shared" si="15"/>
        <v>103.07819648839239</v>
      </c>
      <c r="AB25">
        <f t="shared" si="6"/>
        <v>69.148630210940638</v>
      </c>
      <c r="AC25">
        <f t="shared" si="7"/>
        <v>103.27800000000002</v>
      </c>
      <c r="AD25">
        <f t="shared" si="8"/>
        <v>106.88473705189418</v>
      </c>
      <c r="AE25">
        <f t="shared" si="9"/>
        <v>100</v>
      </c>
      <c r="AF25">
        <f t="shared" si="10"/>
        <v>105.26908256483527</v>
      </c>
      <c r="AG25">
        <f t="shared" si="11"/>
        <v>110.02477713264184</v>
      </c>
      <c r="AH25">
        <f t="shared" si="12"/>
        <v>114.95492425475217</v>
      </c>
      <c r="AI25">
        <f t="shared" si="13"/>
        <v>108.46695203215403</v>
      </c>
      <c r="AN25" s="142" t="s">
        <v>77</v>
      </c>
      <c r="AO25" s="149" t="s">
        <v>76</v>
      </c>
      <c r="AP25" s="149" t="s">
        <v>78</v>
      </c>
      <c r="AQ25" s="149" t="s">
        <v>79</v>
      </c>
      <c r="AR25" s="149" t="s">
        <v>60</v>
      </c>
      <c r="AS25" s="145" t="s">
        <v>80</v>
      </c>
      <c r="AT25" s="149" t="s">
        <v>62</v>
      </c>
      <c r="AU25" s="149" t="s">
        <v>82</v>
      </c>
      <c r="AV25" s="149" t="s">
        <v>61</v>
      </c>
    </row>
    <row r="26" spans="1:48" x14ac:dyDescent="0.2">
      <c r="A26">
        <f t="shared" si="18"/>
        <v>22</v>
      </c>
      <c r="B26" s="1">
        <v>37529</v>
      </c>
      <c r="C26" s="128">
        <v>-4.1572614553892606E-2</v>
      </c>
      <c r="D26" s="212">
        <v>-0.11047382732014566</v>
      </c>
      <c r="E26" s="129">
        <v>-8.165340149886724E-2</v>
      </c>
      <c r="F26" s="129">
        <v>5.1257230363959128E-3</v>
      </c>
      <c r="G26" s="129">
        <v>0</v>
      </c>
      <c r="H26" s="129">
        <v>7.814427901622345E-4</v>
      </c>
      <c r="I26" s="129">
        <v>1.6869618469952607E-2</v>
      </c>
      <c r="J26" s="128">
        <v>1.7054453343192444E-2</v>
      </c>
      <c r="K26" s="128">
        <v>4.1320108979536752E-3</v>
      </c>
      <c r="Z26" s="1">
        <f t="shared" si="3"/>
        <v>37529</v>
      </c>
      <c r="AA26">
        <f t="shared" si="15"/>
        <v>98.792966356870053</v>
      </c>
      <c r="AB26">
        <f t="shared" si="6"/>
        <v>61.509516377592576</v>
      </c>
      <c r="AC26">
        <f t="shared" si="7"/>
        <v>94.845000000000013</v>
      </c>
      <c r="AD26">
        <f t="shared" si="8"/>
        <v>107.43259861084019</v>
      </c>
      <c r="AE26">
        <f t="shared" si="9"/>
        <v>100</v>
      </c>
      <c r="AF26">
        <f t="shared" si="10"/>
        <v>105.35134433043255</v>
      </c>
      <c r="AG26">
        <f t="shared" si="11"/>
        <v>111.88085314511108</v>
      </c>
      <c r="AH26">
        <f t="shared" si="12"/>
        <v>116.91541764702507</v>
      </c>
      <c r="AI26">
        <f t="shared" si="13"/>
        <v>108.9151386600187</v>
      </c>
    </row>
    <row r="27" spans="1:48" x14ac:dyDescent="0.2">
      <c r="A27">
        <f t="shared" si="18"/>
        <v>23</v>
      </c>
      <c r="B27" s="1">
        <v>37560</v>
      </c>
      <c r="C27" s="128">
        <v>2.6770988639811977E-2</v>
      </c>
      <c r="D27" s="212">
        <v>7.3984206255420792E-2</v>
      </c>
      <c r="E27" s="129">
        <v>4.8384205809478553E-2</v>
      </c>
      <c r="F27" s="129">
        <v>8.8887485494604235E-3</v>
      </c>
      <c r="G27" s="129">
        <v>0</v>
      </c>
      <c r="H27" s="129">
        <v>-4.1096453376088249E-4</v>
      </c>
      <c r="I27" s="129">
        <v>1.8933517165760083E-3</v>
      </c>
      <c r="J27" s="128">
        <v>-1.4164085610024468E-4</v>
      </c>
      <c r="K27" s="128">
        <v>4.1716831791158704E-3</v>
      </c>
      <c r="Z27" s="1">
        <f t="shared" si="3"/>
        <v>37560</v>
      </c>
      <c r="AA27">
        <f t="shared" si="15"/>
        <v>101.43775173690315</v>
      </c>
      <c r="AB27">
        <f t="shared" si="6"/>
        <v>66.060249123943564</v>
      </c>
      <c r="AC27">
        <f t="shared" si="7"/>
        <v>99.434000000000012</v>
      </c>
      <c r="AD27">
        <f t="shared" si="8"/>
        <v>108.38753996590705</v>
      </c>
      <c r="AE27">
        <f t="shared" si="9"/>
        <v>100</v>
      </c>
      <c r="AF27">
        <f t="shared" si="10"/>
        <v>105.30804866432871</v>
      </c>
      <c r="AG27">
        <f t="shared" si="11"/>
        <v>112.09268295046536</v>
      </c>
      <c r="AH27">
        <f t="shared" si="12"/>
        <v>116.89885764717822</v>
      </c>
      <c r="AI27">
        <f t="shared" si="13"/>
        <v>109.36949811191776</v>
      </c>
    </row>
    <row r="28" spans="1:48" x14ac:dyDescent="0.2">
      <c r="A28">
        <f t="shared" si="18"/>
        <v>24</v>
      </c>
      <c r="B28" s="1">
        <v>37589</v>
      </c>
      <c r="C28" s="128">
        <v>1.1243896170650247E-2</v>
      </c>
      <c r="D28" s="212">
        <v>5.3490182792918839E-2</v>
      </c>
      <c r="E28" s="129">
        <v>5.2969809119616906E-2</v>
      </c>
      <c r="F28" s="129">
        <v>3.07582764097869E-2</v>
      </c>
      <c r="G28" s="129">
        <v>0</v>
      </c>
      <c r="H28" s="129">
        <v>1.0936150968219316E-2</v>
      </c>
      <c r="I28" s="129">
        <v>1.2469658604954414E-3</v>
      </c>
      <c r="J28" s="128">
        <v>2.032383850327335E-3</v>
      </c>
      <c r="K28" s="128">
        <v>3.9895497663684498E-3</v>
      </c>
      <c r="Z28" s="1">
        <f t="shared" si="3"/>
        <v>37589</v>
      </c>
      <c r="AA28">
        <f t="shared" si="15"/>
        <v>102.57830728521709</v>
      </c>
      <c r="AB28">
        <f t="shared" si="6"/>
        <v>69.593823924929055</v>
      </c>
      <c r="AC28">
        <f t="shared" si="7"/>
        <v>104.70099999999999</v>
      </c>
      <c r="AD28">
        <f t="shared" si="8"/>
        <v>111.72135387955525</v>
      </c>
      <c r="AE28">
        <f t="shared" si="9"/>
        <v>100</v>
      </c>
      <c r="AF28">
        <f t="shared" si="10"/>
        <v>106.4597133826904</v>
      </c>
      <c r="AG28">
        <f t="shared" si="11"/>
        <v>112.23245869931593</v>
      </c>
      <c r="AH28">
        <f t="shared" si="12"/>
        <v>117.13644099758206</v>
      </c>
      <c r="AI28">
        <f t="shared" si="13"/>
        <v>109.80583316755801</v>
      </c>
    </row>
    <row r="29" spans="1:48" x14ac:dyDescent="0.2">
      <c r="A29">
        <f t="shared" si="18"/>
        <v>25</v>
      </c>
      <c r="B29" s="1">
        <v>37621</v>
      </c>
      <c r="C29" s="128">
        <v>-1.5947645974966673E-2</v>
      </c>
      <c r="D29" s="212">
        <v>-6.4238273288754089E-2</v>
      </c>
      <c r="E29" s="129">
        <v>-4.6904996131841958E-2</v>
      </c>
      <c r="F29" s="129">
        <v>5.4427862207175881E-3</v>
      </c>
      <c r="G29" s="129">
        <v>0</v>
      </c>
      <c r="H29" s="129">
        <v>1.0655171011427989E-2</v>
      </c>
      <c r="I29" s="129">
        <v>2.2358513326476537E-2</v>
      </c>
      <c r="J29" s="128">
        <v>1.8989824369865849E-2</v>
      </c>
      <c r="K29" s="128">
        <v>4.1343428120601544E-3</v>
      </c>
      <c r="Z29" s="1">
        <f t="shared" si="3"/>
        <v>37621</v>
      </c>
      <c r="AA29">
        <f t="shared" si="15"/>
        <v>100.94242475592111</v>
      </c>
      <c r="AB29">
        <f t="shared" si="6"/>
        <v>65.123236844430025</v>
      </c>
      <c r="AC29">
        <f t="shared" si="7"/>
        <v>99.79</v>
      </c>
      <c r="AD29">
        <f t="shared" si="8"/>
        <v>112.32942932501081</v>
      </c>
      <c r="AE29">
        <f t="shared" si="9"/>
        <v>100</v>
      </c>
      <c r="AF29">
        <f t="shared" si="10"/>
        <v>107.59405983461058</v>
      </c>
      <c r="AG29">
        <f t="shared" si="11"/>
        <v>114.74180962280781</v>
      </c>
      <c r="AH29">
        <f t="shared" si="12"/>
        <v>119.36084143943729</v>
      </c>
      <c r="AI29">
        <f t="shared" si="13"/>
        <v>110.25980812463658</v>
      </c>
    </row>
    <row r="30" spans="1:48" x14ac:dyDescent="0.2">
      <c r="A30">
        <f t="shared" si="18"/>
        <v>26</v>
      </c>
      <c r="B30" s="1">
        <v>37652</v>
      </c>
      <c r="C30" s="128">
        <v>-1.6406250000000067E-2</v>
      </c>
      <c r="D30" s="212">
        <v>-3.6528420874933687E-2</v>
      </c>
      <c r="E30" s="129">
        <v>-5.8422687644054117E-3</v>
      </c>
      <c r="F30" s="129">
        <v>1.2381937471217519E-3</v>
      </c>
      <c r="G30" s="129">
        <v>0</v>
      </c>
      <c r="H30" s="129">
        <v>1.2756025914450131E-2</v>
      </c>
      <c r="I30" s="129">
        <v>4.079797500552651E-3</v>
      </c>
      <c r="J30" s="128">
        <v>8.4462358434127527E-3</v>
      </c>
      <c r="K30" s="128">
        <v>4.0584896414932459E-3</v>
      </c>
      <c r="Z30" s="1">
        <f t="shared" si="3"/>
        <v>37652</v>
      </c>
      <c r="AA30">
        <f t="shared" si="15"/>
        <v>99.286338099769267</v>
      </c>
      <c r="AB30">
        <f t="shared" si="6"/>
        <v>62.744387840238694</v>
      </c>
      <c r="AC30">
        <f t="shared" si="7"/>
        <v>99.206999999999994</v>
      </c>
      <c r="AD30">
        <f t="shared" si="8"/>
        <v>112.46851492201878</v>
      </c>
      <c r="AE30">
        <f t="shared" si="9"/>
        <v>100</v>
      </c>
      <c r="AF30">
        <f t="shared" si="10"/>
        <v>108.96653245010177</v>
      </c>
      <c r="AG30">
        <f t="shared" si="11"/>
        <v>115.20993297091583</v>
      </c>
      <c r="AH30">
        <f t="shared" si="12"/>
        <v>120.36899125670297</v>
      </c>
      <c r="AI30">
        <f t="shared" si="13"/>
        <v>110.70729641378345</v>
      </c>
    </row>
    <row r="31" spans="1:48" x14ac:dyDescent="0.2">
      <c r="A31">
        <f t="shared" si="18"/>
        <v>27</v>
      </c>
      <c r="B31" s="1">
        <v>37680</v>
      </c>
      <c r="C31" s="128">
        <v>-4.9225739961533121E-2</v>
      </c>
      <c r="D31" s="212">
        <v>-1.6342548195381612E-2</v>
      </c>
      <c r="E31" s="129">
        <v>-2.892941022306883E-2</v>
      </c>
      <c r="F31" s="129">
        <v>-3.5335369302115227E-2</v>
      </c>
      <c r="G31" s="129">
        <v>0</v>
      </c>
      <c r="H31" s="129">
        <v>6.7546090273362669E-3</v>
      </c>
      <c r="I31" s="129">
        <v>9.6748879422994261E-3</v>
      </c>
      <c r="J31" s="128">
        <v>1.1494435687940507E-2</v>
      </c>
      <c r="K31" s="128">
        <v>3.6861771085878736E-3</v>
      </c>
      <c r="Z31" s="1">
        <f t="shared" si="3"/>
        <v>37680</v>
      </c>
      <c r="AA31">
        <f t="shared" si="15"/>
        <v>94.398894638737161</v>
      </c>
      <c r="AB31">
        <f t="shared" si="6"/>
        <v>61.718984657969877</v>
      </c>
      <c r="AC31">
        <f t="shared" si="7"/>
        <v>96.337000000000003</v>
      </c>
      <c r="AD31">
        <f t="shared" si="8"/>
        <v>108.49439841238879</v>
      </c>
      <c r="AE31">
        <f t="shared" si="9"/>
        <v>100</v>
      </c>
      <c r="AF31">
        <f t="shared" si="10"/>
        <v>109.70255877386676</v>
      </c>
      <c r="AG31">
        <f t="shared" si="11"/>
        <v>116.32457616224927</v>
      </c>
      <c r="AH31">
        <f t="shared" si="12"/>
        <v>121.75256488552542</v>
      </c>
      <c r="AI31">
        <f t="shared" si="13"/>
        <v>111.1153831155776</v>
      </c>
    </row>
    <row r="32" spans="1:48" x14ac:dyDescent="0.2">
      <c r="A32">
        <f t="shared" si="18"/>
        <v>28</v>
      </c>
      <c r="B32" s="1">
        <v>37711</v>
      </c>
      <c r="C32" s="128">
        <v>3.9236398784866067E-2</v>
      </c>
      <c r="D32" s="212">
        <v>-5.4041631777370647E-3</v>
      </c>
      <c r="E32" s="129">
        <v>-2.9137299272346096E-2</v>
      </c>
      <c r="F32" s="129">
        <v>4.956655644928043E-2</v>
      </c>
      <c r="G32" s="129">
        <v>0</v>
      </c>
      <c r="H32" s="129">
        <v>2.6047833293867395E-3</v>
      </c>
      <c r="I32" s="129">
        <v>-4.4324970394890029E-3</v>
      </c>
      <c r="J32" s="128">
        <v>1.5040112207256318E-3</v>
      </c>
      <c r="K32" s="128">
        <v>3.9909410024552283E-3</v>
      </c>
      <c r="Z32" s="1">
        <f t="shared" si="3"/>
        <v>37711</v>
      </c>
      <c r="AA32">
        <f t="shared" si="15"/>
        <v>98.102767313633208</v>
      </c>
      <c r="AB32">
        <f t="shared" si="6"/>
        <v>61.385445193713956</v>
      </c>
      <c r="AC32">
        <f t="shared" si="7"/>
        <v>93.53</v>
      </c>
      <c r="AD32">
        <f t="shared" si="8"/>
        <v>113.87209213572719</v>
      </c>
      <c r="AE32">
        <f t="shared" si="9"/>
        <v>100</v>
      </c>
      <c r="AF32">
        <f t="shared" si="10"/>
        <v>109.98831017015199</v>
      </c>
      <c r="AG32">
        <f t="shared" si="11"/>
        <v>115.80896782279029</v>
      </c>
      <c r="AH32">
        <f t="shared" si="12"/>
        <v>121.93568210926537</v>
      </c>
      <c r="AI32">
        <f t="shared" si="13"/>
        <v>111.55883805405708</v>
      </c>
    </row>
    <row r="33" spans="1:35" x14ac:dyDescent="0.2">
      <c r="A33">
        <f t="shared" si="18"/>
        <v>29</v>
      </c>
      <c r="B33" s="1">
        <v>37741</v>
      </c>
      <c r="C33" s="128">
        <v>4.3103047374819958E-2</v>
      </c>
      <c r="D33" s="212">
        <v>8.2659006214656161E-2</v>
      </c>
      <c r="E33" s="129">
        <v>4.938522399230183E-2</v>
      </c>
      <c r="F33" s="129">
        <v>2.3475087510240522E-2</v>
      </c>
      <c r="G33" s="129">
        <v>0</v>
      </c>
      <c r="H33" s="129">
        <v>1.9563848212879931E-2</v>
      </c>
      <c r="I33" s="129">
        <v>5.5117592812046201E-3</v>
      </c>
      <c r="J33" s="128">
        <v>5.8570705227087849E-3</v>
      </c>
      <c r="K33" s="128">
        <v>3.9154575884015053E-3</v>
      </c>
      <c r="Z33" s="1">
        <f t="shared" si="3"/>
        <v>37741</v>
      </c>
      <c r="AA33">
        <f t="shared" si="15"/>
        <v>102.33129554075369</v>
      </c>
      <c r="AB33">
        <f t="shared" si="6"/>
        <v>66.459505089470596</v>
      </c>
      <c r="AC33">
        <f t="shared" si="7"/>
        <v>98.148999999999987</v>
      </c>
      <c r="AD33">
        <f t="shared" si="8"/>
        <v>116.54524946358755</v>
      </c>
      <c r="AE33">
        <f t="shared" si="9"/>
        <v>100</v>
      </c>
      <c r="AF33">
        <f t="shared" si="10"/>
        <v>112.140104775512</v>
      </c>
      <c r="AG33">
        <f t="shared" si="11"/>
        <v>116.44727897603428</v>
      </c>
      <c r="AH33">
        <f t="shared" si="12"/>
        <v>122.64986799861394</v>
      </c>
      <c r="AI33">
        <f t="shared" si="13"/>
        <v>111.99564195306908</v>
      </c>
    </row>
    <row r="34" spans="1:35" x14ac:dyDescent="0.2">
      <c r="A34">
        <f t="shared" si="18"/>
        <v>30</v>
      </c>
      <c r="B34" s="1">
        <v>37771</v>
      </c>
      <c r="C34" s="128">
        <v>3.7131156415792788E-3</v>
      </c>
      <c r="D34" s="212">
        <v>4.2378219665780481E-2</v>
      </c>
      <c r="E34" s="129">
        <v>8.1773629889249966E-2</v>
      </c>
      <c r="F34" s="129">
        <v>3.6209631645587992E-2</v>
      </c>
      <c r="G34" s="129">
        <v>0</v>
      </c>
      <c r="H34" s="129">
        <v>2.7141809196556288E-2</v>
      </c>
      <c r="I34" s="129">
        <v>1.6025109129155002E-2</v>
      </c>
      <c r="J34" s="128">
        <v>2.0745239622697698E-2</v>
      </c>
      <c r="K34" s="128">
        <v>4.0673067122376505E-3</v>
      </c>
      <c r="Z34" s="1">
        <f t="shared" si="3"/>
        <v>37771</v>
      </c>
      <c r="AA34">
        <f t="shared" si="15"/>
        <v>102.71126347484913</v>
      </c>
      <c r="AB34">
        <f t="shared" si="6"/>
        <v>69.275940595031244</v>
      </c>
      <c r="AC34">
        <f t="shared" si="7"/>
        <v>106.17499999999998</v>
      </c>
      <c r="AD34">
        <f t="shared" si="8"/>
        <v>120.76531001670722</v>
      </c>
      <c r="AE34">
        <f t="shared" si="9"/>
        <v>100</v>
      </c>
      <c r="AF34">
        <f t="shared" si="10"/>
        <v>115.18379010261077</v>
      </c>
      <c r="AG34">
        <f t="shared" si="11"/>
        <v>118.31335932941839</v>
      </c>
      <c r="AH34">
        <f t="shared" si="12"/>
        <v>125.19426889993743</v>
      </c>
      <c r="AI34">
        <f t="shared" si="13"/>
        <v>112.45116257932617</v>
      </c>
    </row>
    <row r="35" spans="1:35" x14ac:dyDescent="0.2">
      <c r="A35">
        <f t="shared" si="18"/>
        <v>31</v>
      </c>
      <c r="B35" s="1">
        <v>37802</v>
      </c>
      <c r="C35" s="128">
        <v>1.2354531263880641E-2</v>
      </c>
      <c r="D35" s="212">
        <v>2.097235259736796E-2</v>
      </c>
      <c r="E35" s="129">
        <v>4.2891452790204898E-2</v>
      </c>
      <c r="F35" s="129">
        <v>-3.037261759294374E-2</v>
      </c>
      <c r="G35" s="129">
        <v>0</v>
      </c>
      <c r="H35" s="129">
        <v>8.3070215005260906E-3</v>
      </c>
      <c r="I35" s="129">
        <v>7.3958135840657135E-5</v>
      </c>
      <c r="J35" s="128">
        <v>-2.6256090931403575E-3</v>
      </c>
      <c r="K35" s="128">
        <v>3.9129059765312668E-3</v>
      </c>
      <c r="Z35" s="1">
        <f t="shared" si="3"/>
        <v>37802</v>
      </c>
      <c r="AA35">
        <f t="shared" si="15"/>
        <v>103.98021299060184</v>
      </c>
      <c r="AB35">
        <f t="shared" si="6"/>
        <v>70.728820047704559</v>
      </c>
      <c r="AC35">
        <f t="shared" si="7"/>
        <v>110.72899999999998</v>
      </c>
      <c r="AD35">
        <f t="shared" si="8"/>
        <v>117.09735143707647</v>
      </c>
      <c r="AE35">
        <f t="shared" si="9"/>
        <v>100</v>
      </c>
      <c r="AF35">
        <f t="shared" si="10"/>
        <v>116.14062432350525</v>
      </c>
      <c r="AG35">
        <f t="shared" si="11"/>
        <v>118.32210956491944</v>
      </c>
      <c r="AH35">
        <f t="shared" si="12"/>
        <v>124.86555768910469</v>
      </c>
      <c r="AI35">
        <f t="shared" si="13"/>
        <v>112.8911734054507</v>
      </c>
    </row>
    <row r="36" spans="1:35" x14ac:dyDescent="0.2">
      <c r="A36">
        <f t="shared" si="18"/>
        <v>32</v>
      </c>
      <c r="B36" s="1">
        <v>37833</v>
      </c>
      <c r="C36" s="128">
        <v>3.2662450404598253E-2</v>
      </c>
      <c r="D36" s="212">
        <v>2.8492958293781179E-2</v>
      </c>
      <c r="E36" s="129">
        <v>6.2341392047250643E-2</v>
      </c>
      <c r="F36" s="129">
        <v>8.9010885546052521E-3</v>
      </c>
      <c r="G36" s="129">
        <v>0</v>
      </c>
      <c r="H36" s="129">
        <v>8.2013047530304917E-4</v>
      </c>
      <c r="I36" s="129">
        <v>-8.7507443444276856E-3</v>
      </c>
      <c r="J36" s="128">
        <v>-1.5797426200867326E-2</v>
      </c>
      <c r="K36" s="128">
        <v>3.9209085277376321E-3</v>
      </c>
      <c r="Z36" s="1">
        <f t="shared" si="3"/>
        <v>37833</v>
      </c>
      <c r="AA36">
        <f t="shared" si="15"/>
        <v>107.37646154046693</v>
      </c>
      <c r="AB36">
        <f t="shared" si="6"/>
        <v>72.744093367492155</v>
      </c>
      <c r="AC36">
        <f t="shared" si="7"/>
        <v>117.63200000000001</v>
      </c>
      <c r="AD36">
        <f t="shared" si="8"/>
        <v>118.13964533172762</v>
      </c>
      <c r="AE36">
        <f t="shared" si="9"/>
        <v>100</v>
      </c>
      <c r="AF36">
        <f t="shared" si="10"/>
        <v>116.23587478893369</v>
      </c>
      <c r="AG36">
        <f t="shared" si="11"/>
        <v>117.28670303382347</v>
      </c>
      <c r="AH36">
        <f t="shared" si="12"/>
        <v>122.89300325648092</v>
      </c>
      <c r="AI36">
        <f t="shared" si="13"/>
        <v>113.33380936996244</v>
      </c>
    </row>
    <row r="37" spans="1:35" x14ac:dyDescent="0.2">
      <c r="A37">
        <f t="shared" si="18"/>
        <v>33</v>
      </c>
      <c r="B37" s="1">
        <v>37862</v>
      </c>
      <c r="C37" s="128">
        <v>2.9929833932213157E-2</v>
      </c>
      <c r="D37" s="212">
        <v>2.4351803749856682E-2</v>
      </c>
      <c r="E37" s="129">
        <v>6.6937568008704984E-2</v>
      </c>
      <c r="F37" s="129">
        <v>3.7328968715444333E-4</v>
      </c>
      <c r="G37" s="129">
        <v>0</v>
      </c>
      <c r="H37" s="129">
        <v>7.598614370320611E-3</v>
      </c>
      <c r="I37" s="129">
        <v>-2.0194523565986167E-4</v>
      </c>
      <c r="J37" s="128">
        <v>-1.6185741903625983E-3</v>
      </c>
      <c r="K37" s="128">
        <v>4.000761355917426E-3</v>
      </c>
      <c r="Z37" s="1">
        <f t="shared" ref="Z37:Z68" si="20">B37</f>
        <v>37862</v>
      </c>
      <c r="AA37">
        <f t="shared" si="15"/>
        <v>110.59022120260178</v>
      </c>
      <c r="AB37">
        <f t="shared" si="6"/>
        <v>74.515543253138574</v>
      </c>
      <c r="AC37">
        <f t="shared" si="7"/>
        <v>125.50599999999999</v>
      </c>
      <c r="AD37">
        <f t="shared" si="8"/>
        <v>118.18374564297405</v>
      </c>
      <c r="AE37">
        <f t="shared" si="9"/>
        <v>100</v>
      </c>
      <c r="AF37">
        <f t="shared" si="10"/>
        <v>117.11910637745166</v>
      </c>
      <c r="AG37">
        <f t="shared" si="11"/>
        <v>117.26301754293954</v>
      </c>
      <c r="AH37">
        <f t="shared" si="12"/>
        <v>122.69409181323384</v>
      </c>
      <c r="AI37">
        <f t="shared" si="13"/>
        <v>113.7872308948087</v>
      </c>
    </row>
    <row r="38" spans="1:35" x14ac:dyDescent="0.2">
      <c r="A38">
        <f t="shared" si="18"/>
        <v>34</v>
      </c>
      <c r="B38" s="1">
        <v>37894</v>
      </c>
      <c r="C38" s="128">
        <v>-1.3967221230176685E-3</v>
      </c>
      <c r="D38" s="212">
        <v>-1.5557695398225935E-2</v>
      </c>
      <c r="E38" s="129">
        <v>-1.0708651379216838E-2</v>
      </c>
      <c r="F38" s="129">
        <v>-2.7397850079653341E-2</v>
      </c>
      <c r="G38" s="129">
        <v>0</v>
      </c>
      <c r="H38" s="129">
        <v>1.5156556134708676E-2</v>
      </c>
      <c r="I38" s="129">
        <v>6.6759905944029363E-3</v>
      </c>
      <c r="J38" s="128">
        <v>1.6878249417991542E-2</v>
      </c>
      <c r="K38" s="128">
        <v>3.9671803095406855E-3</v>
      </c>
      <c r="Z38" s="1">
        <f t="shared" si="20"/>
        <v>37894</v>
      </c>
      <c r="AA38">
        <f t="shared" ref="AA38:AA69" si="21">IF($Z38&lt;$B$1,100,AA37*(1+C38))</f>
        <v>110.4357573940587</v>
      </c>
      <c r="AB38">
        <f t="shared" ref="AB38:AB69" si="22">IF($Z38&lt;$B$1,100,AB37*(1+D38))</f>
        <v>73.35625312877292</v>
      </c>
      <c r="AC38">
        <f t="shared" ref="AC38:AC69" si="23">IF($Z38&lt;$B$1,100,AC37*(1+E38))</f>
        <v>124.16199999999999</v>
      </c>
      <c r="AD38">
        <f t="shared" ref="AD38:AD69" si="24">IF($Z38&lt;$B$1,100,AD37*(1+F38))</f>
        <v>114.94576509799596</v>
      </c>
      <c r="AE38">
        <f t="shared" ref="AE38:AE69" si="25">IF($Z38&lt;$B$1,100,AE37*(1+G38))</f>
        <v>100</v>
      </c>
      <c r="AF38">
        <f t="shared" ref="AF38:AF69" si="26">IF($Z38&lt;$B$1,100,AF37*(1+H38))</f>
        <v>118.89422868770842</v>
      </c>
      <c r="AG38">
        <f t="shared" ref="AG38:AG69" si="27">IF($Z38&lt;$B$1,100,AG37*(1+I38))</f>
        <v>118.04586434512751</v>
      </c>
      <c r="AH38">
        <f t="shared" ref="AH38:AH69" si="28">IF($Z38&lt;$B$1,100,AH37*(1+J38))</f>
        <v>124.76495329697156</v>
      </c>
      <c r="AI38">
        <f t="shared" ref="AI38:AI69" si="29">IF($Z38&lt;$B$1,100,AI37*(1+K38))</f>
        <v>114.23864535669175</v>
      </c>
    </row>
    <row r="39" spans="1:35" x14ac:dyDescent="0.2">
      <c r="A39">
        <f t="shared" si="18"/>
        <v>35</v>
      </c>
      <c r="B39" s="1">
        <v>37925</v>
      </c>
      <c r="C39" s="128">
        <v>3.3544019923751778E-2</v>
      </c>
      <c r="D39" s="212">
        <v>5.4291167975657251E-2</v>
      </c>
      <c r="E39" s="129">
        <v>8.9415441117250083E-2</v>
      </c>
      <c r="F39" s="129">
        <v>2.4760949120528952E-2</v>
      </c>
      <c r="G39" s="129">
        <v>0</v>
      </c>
      <c r="H39" s="129">
        <v>1.3764975783838729E-2</v>
      </c>
      <c r="I39" s="129">
        <v>-1.1028797482719344E-2</v>
      </c>
      <c r="J39" s="128">
        <v>-6.8091041750742987E-3</v>
      </c>
      <c r="K39" s="128">
        <v>4.0806738447556334E-3</v>
      </c>
      <c r="Z39" s="1">
        <f t="shared" si="20"/>
        <v>37925</v>
      </c>
      <c r="AA39">
        <f t="shared" si="21"/>
        <v>114.14021664037962</v>
      </c>
      <c r="AB39">
        <f t="shared" si="22"/>
        <v>77.33884978945197</v>
      </c>
      <c r="AC39">
        <f t="shared" si="23"/>
        <v>135.26400000000001</v>
      </c>
      <c r="AD39">
        <f t="shared" si="24"/>
        <v>117.79193133920771</v>
      </c>
      <c r="AE39">
        <f t="shared" si="25"/>
        <v>100</v>
      </c>
      <c r="AF39">
        <f t="shared" si="26"/>
        <v>120.53080486643292</v>
      </c>
      <c r="AG39">
        <f t="shared" si="27"/>
        <v>116.74396041359255</v>
      </c>
      <c r="AH39">
        <f t="shared" si="28"/>
        <v>123.91541573257419</v>
      </c>
      <c r="AI39">
        <f t="shared" si="29"/>
        <v>114.70481600885911</v>
      </c>
    </row>
    <row r="40" spans="1:35" x14ac:dyDescent="0.2">
      <c r="A40">
        <f t="shared" si="18"/>
        <v>36</v>
      </c>
      <c r="B40" s="1">
        <v>37953</v>
      </c>
      <c r="C40" s="128">
        <v>-2.0218706228919192E-2</v>
      </c>
      <c r="D40" s="212">
        <v>6.5090334494641855E-3</v>
      </c>
      <c r="E40" s="129">
        <v>9.5442985568960914E-3</v>
      </c>
      <c r="F40" s="129">
        <v>1.7366011001353598E-2</v>
      </c>
      <c r="G40" s="129">
        <v>0</v>
      </c>
      <c r="H40" s="129">
        <v>1.0776249146880357E-2</v>
      </c>
      <c r="I40" s="129">
        <v>-4.652905868867574E-3</v>
      </c>
      <c r="J40" s="128">
        <v>4.4294170766621122E-3</v>
      </c>
      <c r="K40" s="128">
        <v>3.8424780552437365E-3</v>
      </c>
      <c r="Z40" s="1">
        <f t="shared" si="20"/>
        <v>37953</v>
      </c>
      <c r="AA40">
        <f t="shared" si="21"/>
        <v>111.83244913122259</v>
      </c>
      <c r="AB40">
        <f t="shared" si="22"/>
        <v>77.842250949674593</v>
      </c>
      <c r="AC40">
        <f t="shared" si="23"/>
        <v>136.55500000000001</v>
      </c>
      <c r="AD40">
        <f t="shared" si="24"/>
        <v>119.83750731471508</v>
      </c>
      <c r="AE40">
        <f t="shared" si="25"/>
        <v>100</v>
      </c>
      <c r="AF40">
        <f t="shared" si="26"/>
        <v>121.82967484954762</v>
      </c>
      <c r="AG40">
        <f t="shared" si="27"/>
        <v>116.2007617550293</v>
      </c>
      <c r="AH40">
        <f t="shared" si="28"/>
        <v>124.46428879108174</v>
      </c>
      <c r="AI40">
        <f t="shared" si="29"/>
        <v>115.14556674720393</v>
      </c>
    </row>
    <row r="41" spans="1:35" x14ac:dyDescent="0.2">
      <c r="A41">
        <f t="shared" si="18"/>
        <v>37</v>
      </c>
      <c r="B41" s="1">
        <v>37986</v>
      </c>
      <c r="C41" s="128">
        <v>3.7630617347265582E-2</v>
      </c>
      <c r="D41" s="212">
        <v>4.496594406163168E-2</v>
      </c>
      <c r="E41" s="129">
        <v>6.9195562227673646E-2</v>
      </c>
      <c r="F41" s="129">
        <v>1.9836664213327193E-2</v>
      </c>
      <c r="G41" s="129">
        <v>0</v>
      </c>
      <c r="H41" s="129">
        <v>1.9545826077685735E-2</v>
      </c>
      <c r="I41" s="129">
        <v>1.7541613347667795E-2</v>
      </c>
      <c r="J41" s="128">
        <v>1.147461932642746E-2</v>
      </c>
      <c r="K41" s="128">
        <v>4.4799461733273649E-3</v>
      </c>
      <c r="Z41" s="1">
        <f t="shared" si="20"/>
        <v>37986</v>
      </c>
      <c r="AA41">
        <f t="shared" si="21"/>
        <v>116.04077323148717</v>
      </c>
      <c r="AB41">
        <f t="shared" si="22"/>
        <v>81.342501251509162</v>
      </c>
      <c r="AC41">
        <f t="shared" si="23"/>
        <v>146.00399999999999</v>
      </c>
      <c r="AD41">
        <f t="shared" si="24"/>
        <v>122.21468370747922</v>
      </c>
      <c r="AE41">
        <f t="shared" si="25"/>
        <v>100</v>
      </c>
      <c r="AF41">
        <f t="shared" si="26"/>
        <v>124.21093648525788</v>
      </c>
      <c r="AG41">
        <f t="shared" si="27"/>
        <v>118.2391105884405</v>
      </c>
      <c r="AH41">
        <f t="shared" si="28"/>
        <v>125.89246912469393</v>
      </c>
      <c r="AI41">
        <f t="shared" si="29"/>
        <v>115.66141268832868</v>
      </c>
    </row>
    <row r="42" spans="1:35" x14ac:dyDescent="0.2">
      <c r="A42">
        <f t="shared" si="18"/>
        <v>38</v>
      </c>
      <c r="B42" s="1">
        <v>38016</v>
      </c>
      <c r="C42" s="128">
        <v>-7.9080687013467488E-3</v>
      </c>
      <c r="D42" s="212">
        <v>1.690433007157055E-2</v>
      </c>
      <c r="E42" s="129">
        <v>3.7122270622722775E-2</v>
      </c>
      <c r="F42" s="129">
        <v>-1.5890969904307495E-3</v>
      </c>
      <c r="G42" s="129">
        <v>0</v>
      </c>
      <c r="H42" s="129">
        <v>1.7044860399456185E-2</v>
      </c>
      <c r="I42" s="129">
        <v>-1.8790413249278881E-3</v>
      </c>
      <c r="J42" s="128">
        <v>8.9128416544947964E-3</v>
      </c>
      <c r="K42" s="128">
        <v>4.5735783433711319E-3</v>
      </c>
      <c r="Z42" s="1">
        <f t="shared" si="20"/>
        <v>38016</v>
      </c>
      <c r="AA42">
        <f t="shared" si="21"/>
        <v>115.12311482461517</v>
      </c>
      <c r="AB42">
        <f t="shared" si="22"/>
        <v>82.717541741511809</v>
      </c>
      <c r="AC42">
        <f t="shared" si="23"/>
        <v>151.42400000000001</v>
      </c>
      <c r="AD42">
        <f t="shared" si="24"/>
        <v>122.02047272141323</v>
      </c>
      <c r="AE42">
        <f t="shared" si="25"/>
        <v>100</v>
      </c>
      <c r="AF42">
        <f t="shared" si="26"/>
        <v>126.32809455773481</v>
      </c>
      <c r="AG42">
        <f t="shared" si="27"/>
        <v>118.01693441342209</v>
      </c>
      <c r="AH42">
        <f t="shared" si="28"/>
        <v>127.0145287674957</v>
      </c>
      <c r="AI42">
        <f t="shared" si="29"/>
        <v>116.19039922056373</v>
      </c>
    </row>
    <row r="43" spans="1:35" x14ac:dyDescent="0.2">
      <c r="A43">
        <f t="shared" si="18"/>
        <v>39</v>
      </c>
      <c r="B43" s="1">
        <v>38044</v>
      </c>
      <c r="C43" s="128">
        <v>3.1261676422966733E-2</v>
      </c>
      <c r="D43" s="212">
        <v>1.7777943910150862E-2</v>
      </c>
      <c r="E43" s="129">
        <v>3.8217191462383893E-2</v>
      </c>
      <c r="F43" s="129">
        <v>3.1318200141786656E-2</v>
      </c>
      <c r="G43" s="129">
        <v>0</v>
      </c>
      <c r="H43" s="129">
        <v>1.3983137980670524E-2</v>
      </c>
      <c r="I43" s="129">
        <v>1.2793324247687199E-2</v>
      </c>
      <c r="J43" s="128">
        <v>1.3459913799275469E-2</v>
      </c>
      <c r="K43" s="128">
        <v>4.4103723293094088E-3</v>
      </c>
      <c r="Z43" s="1">
        <f t="shared" si="20"/>
        <v>38044</v>
      </c>
      <c r="AA43">
        <f t="shared" si="21"/>
        <v>118.72205638906634</v>
      </c>
      <c r="AB43">
        <f t="shared" si="22"/>
        <v>84.188089558977964</v>
      </c>
      <c r="AC43">
        <f t="shared" si="23"/>
        <v>157.21100000000001</v>
      </c>
      <c r="AD43">
        <f t="shared" si="24"/>
        <v>125.84193430749787</v>
      </c>
      <c r="AE43">
        <f t="shared" si="25"/>
        <v>100</v>
      </c>
      <c r="AF43">
        <f t="shared" si="26"/>
        <v>128.0945577347708</v>
      </c>
      <c r="AG43">
        <f t="shared" si="27"/>
        <v>119.52676332209103</v>
      </c>
      <c r="AH43">
        <f t="shared" si="28"/>
        <v>128.7241333759618</v>
      </c>
      <c r="AI43">
        <f t="shared" si="29"/>
        <v>116.70284214221752</v>
      </c>
    </row>
    <row r="44" spans="1:35" x14ac:dyDescent="0.2">
      <c r="A44">
        <f t="shared" si="18"/>
        <v>40</v>
      </c>
      <c r="B44" s="1">
        <v>38077</v>
      </c>
      <c r="C44" s="128">
        <v>2.3204874835309752E-2</v>
      </c>
      <c r="D44" s="212">
        <v>-9.0004115739731327E-3</v>
      </c>
      <c r="E44" s="129">
        <v>-1.9146242947377656E-3</v>
      </c>
      <c r="F44" s="129">
        <v>3.3514395083027892E-2</v>
      </c>
      <c r="G44" s="129">
        <v>0</v>
      </c>
      <c r="H44" s="129">
        <v>2.8391806935712527E-3</v>
      </c>
      <c r="I44" s="129">
        <v>9.2732467261180673E-3</v>
      </c>
      <c r="J44" s="128">
        <v>7.4831029705604291E-3</v>
      </c>
      <c r="K44" s="128">
        <v>4.7731093704999061E-3</v>
      </c>
      <c r="Z44" s="1">
        <f t="shared" si="20"/>
        <v>38077</v>
      </c>
      <c r="AA44">
        <f t="shared" si="21"/>
        <v>121.4769868477652</v>
      </c>
      <c r="AB44">
        <f t="shared" si="22"/>
        <v>83.430362103320647</v>
      </c>
      <c r="AC44">
        <f t="shared" si="23"/>
        <v>156.91</v>
      </c>
      <c r="AD44">
        <f t="shared" si="24"/>
        <v>130.0594506118918</v>
      </c>
      <c r="AE44">
        <f t="shared" si="25"/>
        <v>100</v>
      </c>
      <c r="AF44">
        <f t="shared" si="26"/>
        <v>128.45824133004291</v>
      </c>
      <c r="AG44">
        <f t="shared" si="27"/>
        <v>120.6351644887511</v>
      </c>
      <c r="AH44">
        <f t="shared" si="28"/>
        <v>129.68738932081027</v>
      </c>
      <c r="AI44">
        <f t="shared" si="29"/>
        <v>117.25987757161052</v>
      </c>
    </row>
    <row r="45" spans="1:35" x14ac:dyDescent="0.2">
      <c r="A45">
        <f t="shared" si="18"/>
        <v>41</v>
      </c>
      <c r="B45" s="1">
        <v>38107</v>
      </c>
      <c r="C45" s="128">
        <v>-3.9219473461132859E-3</v>
      </c>
      <c r="D45" s="212">
        <v>-3.8695779289346088E-3</v>
      </c>
      <c r="E45" s="129">
        <v>-5.794404435663747E-2</v>
      </c>
      <c r="F45" s="129">
        <v>-2.3702863253715178E-2</v>
      </c>
      <c r="G45" s="129">
        <v>0</v>
      </c>
      <c r="H45" s="129">
        <v>-5.8308055274687298E-3</v>
      </c>
      <c r="I45" s="129">
        <v>-9.2589245443013279E-3</v>
      </c>
      <c r="J45" s="128">
        <v>-9.9193549577583084E-3</v>
      </c>
      <c r="K45" s="128">
        <v>4.486162188780618E-3</v>
      </c>
      <c r="Z45" s="1">
        <f t="shared" si="20"/>
        <v>38107</v>
      </c>
      <c r="AA45">
        <f t="shared" si="21"/>
        <v>121.00056050158378</v>
      </c>
      <c r="AB45">
        <f t="shared" si="22"/>
        <v>83.107521815522617</v>
      </c>
      <c r="AC45">
        <f t="shared" si="23"/>
        <v>147.81800000000001</v>
      </c>
      <c r="AD45">
        <f t="shared" si="24"/>
        <v>126.97666923918482</v>
      </c>
      <c r="AE45">
        <f t="shared" si="25"/>
        <v>100</v>
      </c>
      <c r="AF45">
        <f t="shared" si="26"/>
        <v>127.70922630644678</v>
      </c>
      <c r="AG45">
        <f t="shared" si="27"/>
        <v>119.51821260336038</v>
      </c>
      <c r="AH45">
        <f t="shared" si="28"/>
        <v>128.40097407259216</v>
      </c>
      <c r="AI45">
        <f t="shared" si="29"/>
        <v>117.78592440063332</v>
      </c>
    </row>
    <row r="46" spans="1:35" x14ac:dyDescent="0.2">
      <c r="A46">
        <f t="shared" si="18"/>
        <v>42</v>
      </c>
      <c r="B46" s="1">
        <v>38138</v>
      </c>
      <c r="C46" s="128">
        <v>1.86958676261475E-2</v>
      </c>
      <c r="D46" s="212">
        <v>1.631087271436682E-3</v>
      </c>
      <c r="E46" s="129">
        <v>-2.3657470673395742E-2</v>
      </c>
      <c r="F46" s="129">
        <v>5.8962610705173502E-2</v>
      </c>
      <c r="G46" s="129">
        <v>0</v>
      </c>
      <c r="H46" s="129">
        <v>-2.305319185001875E-3</v>
      </c>
      <c r="I46" s="129">
        <v>9.0802664937545963E-3</v>
      </c>
      <c r="J46" s="128">
        <v>1.9353102423089741E-3</v>
      </c>
      <c r="K46" s="128">
        <v>4.727688815785891E-3</v>
      </c>
      <c r="Z46" s="1">
        <f t="shared" si="20"/>
        <v>38138</v>
      </c>
      <c r="AA46">
        <f t="shared" si="21"/>
        <v>123.26277096341104</v>
      </c>
      <c r="AB46">
        <f t="shared" si="22"/>
        <v>83.243077436516558</v>
      </c>
      <c r="AC46">
        <f t="shared" si="23"/>
        <v>144.321</v>
      </c>
      <c r="AD46">
        <f t="shared" si="24"/>
        <v>134.46354515617446</v>
      </c>
      <c r="AE46">
        <f t="shared" si="25"/>
        <v>100</v>
      </c>
      <c r="AF46">
        <f t="shared" si="26"/>
        <v>127.41481577694078</v>
      </c>
      <c r="AG46">
        <f t="shared" si="27"/>
        <v>120.60346982465612</v>
      </c>
      <c r="AH46">
        <f t="shared" si="28"/>
        <v>128.64946979283729</v>
      </c>
      <c r="AI46">
        <f t="shared" si="29"/>
        <v>118.34277959807919</v>
      </c>
    </row>
    <row r="47" spans="1:35" x14ac:dyDescent="0.2">
      <c r="A47">
        <f t="shared" si="18"/>
        <v>43</v>
      </c>
      <c r="B47" s="1">
        <v>38168</v>
      </c>
      <c r="C47" s="128">
        <v>2.6881407731312645E-2</v>
      </c>
      <c r="D47" s="212">
        <v>2.1212055107242334E-2</v>
      </c>
      <c r="E47" s="129">
        <v>-2.4320784916955773E-3</v>
      </c>
      <c r="F47" s="129">
        <v>9.9463891516871072E-3</v>
      </c>
      <c r="G47" s="129">
        <v>0</v>
      </c>
      <c r="H47" s="129">
        <v>3.4319888545311095E-3</v>
      </c>
      <c r="I47" s="129">
        <v>3.9186121670533591E-3</v>
      </c>
      <c r="J47" s="128">
        <v>2.9739959508416902E-3</v>
      </c>
      <c r="K47" s="128">
        <v>4.5150641605078423E-3</v>
      </c>
      <c r="Z47" s="1">
        <f t="shared" si="20"/>
        <v>38168</v>
      </c>
      <c r="AA47">
        <f t="shared" si="21"/>
        <v>126.5762477677699</v>
      </c>
      <c r="AB47">
        <f t="shared" si="22"/>
        <v>85.008834182396384</v>
      </c>
      <c r="AC47">
        <f t="shared" si="23"/>
        <v>143.97</v>
      </c>
      <c r="AD47">
        <f t="shared" si="24"/>
        <v>135.80097190301322</v>
      </c>
      <c r="AE47">
        <f t="shared" si="25"/>
        <v>100</v>
      </c>
      <c r="AF47">
        <f t="shared" si="26"/>
        <v>127.85210200458938</v>
      </c>
      <c r="AG47">
        <f t="shared" si="27"/>
        <v>121.07606804889987</v>
      </c>
      <c r="AH47">
        <f t="shared" si="28"/>
        <v>129.03207279507913</v>
      </c>
      <c r="AI47">
        <f t="shared" si="29"/>
        <v>118.87710484089736</v>
      </c>
    </row>
    <row r="48" spans="1:35" x14ac:dyDescent="0.2">
      <c r="A48">
        <f t="shared" si="18"/>
        <v>44</v>
      </c>
      <c r="B48" s="1">
        <v>38198</v>
      </c>
      <c r="C48" s="128">
        <v>2.7202372677139763E-3</v>
      </c>
      <c r="D48" s="212">
        <v>-2.8904403873011186E-2</v>
      </c>
      <c r="E48" s="129">
        <v>-1.6281169688129427E-2</v>
      </c>
      <c r="F48" s="129">
        <v>5.833494663610761E-2</v>
      </c>
      <c r="G48" s="129">
        <v>0</v>
      </c>
      <c r="H48" s="129">
        <v>-3.1154757873349537E-3</v>
      </c>
      <c r="I48" s="129">
        <v>4.2919768376379341E-3</v>
      </c>
      <c r="J48" s="128">
        <v>8.6855888069554688E-3</v>
      </c>
      <c r="K48" s="128">
        <v>4.6287869009211668E-3</v>
      </c>
      <c r="Z48" s="1">
        <f t="shared" si="20"/>
        <v>38198</v>
      </c>
      <c r="AA48">
        <f t="shared" si="21"/>
        <v>126.92056519415519</v>
      </c>
      <c r="AB48">
        <f t="shared" si="22"/>
        <v>82.551704506414566</v>
      </c>
      <c r="AC48">
        <f t="shared" si="23"/>
        <v>141.626</v>
      </c>
      <c r="AD48">
        <f t="shared" si="24"/>
        <v>143.72291435210704</v>
      </c>
      <c r="AE48">
        <f t="shared" si="25"/>
        <v>100</v>
      </c>
      <c r="AF48">
        <f t="shared" si="26"/>
        <v>127.45378187643421</v>
      </c>
      <c r="AG48">
        <f t="shared" si="27"/>
        <v>121.59572372855803</v>
      </c>
      <c r="AH48">
        <f t="shared" si="28"/>
        <v>130.15279232228633</v>
      </c>
      <c r="AI48">
        <f t="shared" si="29"/>
        <v>119.42736162660434</v>
      </c>
    </row>
    <row r="49" spans="1:35" x14ac:dyDescent="0.2">
      <c r="A49">
        <f t="shared" si="18"/>
        <v>45</v>
      </c>
      <c r="B49" s="1">
        <v>38230</v>
      </c>
      <c r="C49" s="128">
        <v>1.1562124337511692E-2</v>
      </c>
      <c r="D49" s="212">
        <v>1.6801187141206597E-3</v>
      </c>
      <c r="E49" s="129">
        <v>4.5810797452445096E-2</v>
      </c>
      <c r="F49" s="129">
        <v>1.3288644463851584E-2</v>
      </c>
      <c r="G49" s="129">
        <v>0</v>
      </c>
      <c r="H49" s="129">
        <v>1.3587879611385301E-3</v>
      </c>
      <c r="I49" s="129">
        <v>1.4099571558296775E-2</v>
      </c>
      <c r="J49" s="128">
        <v>1.8523367125399481E-2</v>
      </c>
      <c r="K49" s="128">
        <v>4.6231126932938515E-3</v>
      </c>
      <c r="Z49" s="1">
        <f t="shared" si="20"/>
        <v>38230</v>
      </c>
      <c r="AA49">
        <f t="shared" si="21"/>
        <v>128.38803654991727</v>
      </c>
      <c r="AB49">
        <f t="shared" si="22"/>
        <v>82.690401170038356</v>
      </c>
      <c r="AC49">
        <f t="shared" si="23"/>
        <v>148.114</v>
      </c>
      <c r="AD49">
        <f t="shared" si="24"/>
        <v>145.63279706224077</v>
      </c>
      <c r="AE49">
        <f t="shared" si="25"/>
        <v>100</v>
      </c>
      <c r="AF49">
        <f t="shared" si="26"/>
        <v>127.62696454084949</v>
      </c>
      <c r="AG49">
        <f t="shared" si="27"/>
        <v>123.31017133645172</v>
      </c>
      <c r="AH49">
        <f t="shared" si="28"/>
        <v>132.56366027686792</v>
      </c>
      <c r="AI49">
        <f t="shared" si="29"/>
        <v>119.97948777806688</v>
      </c>
    </row>
    <row r="50" spans="1:35" x14ac:dyDescent="0.2">
      <c r="A50">
        <f t="shared" si="18"/>
        <v>46</v>
      </c>
      <c r="B50" s="1">
        <v>38260</v>
      </c>
      <c r="C50" s="128">
        <v>3.800733942532375E-2</v>
      </c>
      <c r="D50" s="212">
        <v>1.2853369736178344E-2</v>
      </c>
      <c r="E50" s="129">
        <v>4.7611974560135994E-2</v>
      </c>
      <c r="F50" s="129">
        <v>2.3648963428837488E-2</v>
      </c>
      <c r="G50" s="129">
        <v>0</v>
      </c>
      <c r="H50" s="129">
        <v>1.0143157609064479E-2</v>
      </c>
      <c r="I50" s="129">
        <v>7.4093181971051081E-3</v>
      </c>
      <c r="J50" s="128">
        <v>7.9263528667590233E-3</v>
      </c>
      <c r="K50" s="128">
        <v>4.4553864029008849E-3</v>
      </c>
      <c r="Z50" s="1">
        <f t="shared" si="20"/>
        <v>38260</v>
      </c>
      <c r="AA50">
        <f t="shared" si="21"/>
        <v>133.26772423322086</v>
      </c>
      <c r="AB50">
        <f t="shared" si="22"/>
        <v>83.75325146990977</v>
      </c>
      <c r="AC50">
        <f t="shared" si="23"/>
        <v>155.166</v>
      </c>
      <c r="AD50">
        <f t="shared" si="24"/>
        <v>149.07686175400502</v>
      </c>
      <c r="AE50">
        <f t="shared" si="25"/>
        <v>100</v>
      </c>
      <c r="AF50">
        <f t="shared" si="26"/>
        <v>128.92150495735382</v>
      </c>
      <c r="AG50">
        <f t="shared" si="27"/>
        <v>124.22381563282303</v>
      </c>
      <c r="AH50">
        <f t="shared" si="28"/>
        <v>133.61440662553153</v>
      </c>
      <c r="AI50">
        <f t="shared" si="29"/>
        <v>120.51404275654029</v>
      </c>
    </row>
    <row r="51" spans="1:35" x14ac:dyDescent="0.2">
      <c r="A51">
        <f t="shared" si="18"/>
        <v>47</v>
      </c>
      <c r="B51" s="1">
        <v>38289</v>
      </c>
      <c r="C51" s="128">
        <v>3.2599595066461928E-2</v>
      </c>
      <c r="D51" s="212">
        <v>1.2323425760003115E-2</v>
      </c>
      <c r="E51" s="129">
        <v>7.0505136434528826E-3</v>
      </c>
      <c r="F51" s="129">
        <v>1.6019933895017102E-2</v>
      </c>
      <c r="G51" s="129">
        <v>0</v>
      </c>
      <c r="H51" s="129">
        <v>1.2828693286764947E-2</v>
      </c>
      <c r="I51" s="129">
        <v>7.1701216327961781E-3</v>
      </c>
      <c r="J51" s="128">
        <v>9.3792245733963497E-3</v>
      </c>
      <c r="K51" s="128">
        <v>4.5679701051029031E-3</v>
      </c>
      <c r="Z51" s="1">
        <f t="shared" si="20"/>
        <v>38289</v>
      </c>
      <c r="AA51">
        <f t="shared" si="21"/>
        <v>137.61219807865277</v>
      </c>
      <c r="AB51">
        <f t="shared" si="22"/>
        <v>84.78537844655807</v>
      </c>
      <c r="AC51">
        <f t="shared" si="23"/>
        <v>156.26000000000002</v>
      </c>
      <c r="AD51">
        <f t="shared" si="24"/>
        <v>151.46506322458077</v>
      </c>
      <c r="AE51">
        <f t="shared" si="25"/>
        <v>100</v>
      </c>
      <c r="AF51">
        <f t="shared" si="26"/>
        <v>130.57539940251985</v>
      </c>
      <c r="AG51">
        <f t="shared" si="27"/>
        <v>125.11451550060042</v>
      </c>
      <c r="AH51">
        <f t="shared" si="28"/>
        <v>134.86760615151348</v>
      </c>
      <c r="AI51">
        <f t="shared" si="29"/>
        <v>121.06454730109726</v>
      </c>
    </row>
    <row r="52" spans="1:35" x14ac:dyDescent="0.2">
      <c r="A52">
        <f t="shared" si="18"/>
        <v>48</v>
      </c>
      <c r="B52" s="1">
        <v>38321</v>
      </c>
      <c r="C52" s="128">
        <v>4.5784888883837027E-2</v>
      </c>
      <c r="D52" s="212">
        <v>3.3341707495531114E-2</v>
      </c>
      <c r="E52" s="129">
        <v>5.1702291053372651E-2</v>
      </c>
      <c r="F52" s="129">
        <v>3.0560423747319376E-2</v>
      </c>
      <c r="G52" s="129">
        <v>0</v>
      </c>
      <c r="H52" s="129">
        <v>2.6492920852813517E-2</v>
      </c>
      <c r="I52" s="129">
        <v>1.1012357806403861E-2</v>
      </c>
      <c r="J52" s="128">
        <v>6.9108544490443791E-3</v>
      </c>
      <c r="K52" s="128">
        <v>4.4590561297701559E-3</v>
      </c>
      <c r="Z52" s="1">
        <f t="shared" si="20"/>
        <v>38321</v>
      </c>
      <c r="AA52">
        <f t="shared" si="21"/>
        <v>143.91275727674446</v>
      </c>
      <c r="AB52">
        <f t="shared" si="22"/>
        <v>87.612267734621113</v>
      </c>
      <c r="AC52">
        <f t="shared" si="23"/>
        <v>164.33900000000003</v>
      </c>
      <c r="AD52">
        <f t="shared" si="24"/>
        <v>156.09389973963849</v>
      </c>
      <c r="AE52">
        <f t="shared" si="25"/>
        <v>100</v>
      </c>
      <c r="AF52">
        <f t="shared" si="26"/>
        <v>134.03472312421533</v>
      </c>
      <c r="AG52">
        <f t="shared" si="27"/>
        <v>126.49232131206789</v>
      </c>
      <c r="AH52">
        <f t="shared" si="28"/>
        <v>135.79965654751763</v>
      </c>
      <c r="AI52">
        <f t="shared" si="29"/>
        <v>121.60438091283807</v>
      </c>
    </row>
    <row r="53" spans="1:35" x14ac:dyDescent="0.2">
      <c r="A53">
        <f t="shared" si="18"/>
        <v>49</v>
      </c>
      <c r="B53" s="1">
        <v>38352</v>
      </c>
      <c r="C53" s="128">
        <v>3.1449053059379617E-2</v>
      </c>
      <c r="D53" s="212">
        <v>3.3498306850742399E-2</v>
      </c>
      <c r="E53" s="129">
        <v>3.1270726972903562E-2</v>
      </c>
      <c r="F53" s="129">
        <v>5.2310450680502996E-2</v>
      </c>
      <c r="G53" s="129">
        <v>0</v>
      </c>
      <c r="H53" s="129">
        <v>1.6054008656890106E-2</v>
      </c>
      <c r="I53" s="129">
        <v>-1.9445897816861013E-4</v>
      </c>
      <c r="J53" s="128">
        <v>9.1860038909408193E-3</v>
      </c>
      <c r="K53" s="128">
        <v>4.566102782785908E-3</v>
      </c>
      <c r="Z53" s="1">
        <f t="shared" si="20"/>
        <v>38352</v>
      </c>
      <c r="AA53">
        <f t="shared" si="21"/>
        <v>148.43867721626242</v>
      </c>
      <c r="AB53">
        <f t="shared" si="22"/>
        <v>90.547130363084847</v>
      </c>
      <c r="AC53">
        <f t="shared" si="23"/>
        <v>169.47800000000004</v>
      </c>
      <c r="AD53">
        <f t="shared" si="24"/>
        <v>164.25924198349622</v>
      </c>
      <c r="AE53">
        <f t="shared" si="25"/>
        <v>100</v>
      </c>
      <c r="AF53">
        <f t="shared" si="26"/>
        <v>136.18651772957534</v>
      </c>
      <c r="AG53">
        <f t="shared" si="27"/>
        <v>126.46772374451936</v>
      </c>
      <c r="AH53">
        <f t="shared" si="28"/>
        <v>137.04711272095156</v>
      </c>
      <c r="AI53">
        <f t="shared" si="29"/>
        <v>122.15963901492313</v>
      </c>
    </row>
    <row r="54" spans="1:35" x14ac:dyDescent="0.2">
      <c r="A54">
        <f t="shared" si="18"/>
        <v>50</v>
      </c>
      <c r="B54" s="1">
        <v>38383</v>
      </c>
      <c r="C54" s="128">
        <v>1.4357947166126372E-2</v>
      </c>
      <c r="D54" s="212">
        <v>-9.9125497172256605E-3</v>
      </c>
      <c r="E54" s="129">
        <v>1.003080045787641E-2</v>
      </c>
      <c r="F54" s="129">
        <v>4.4092666883515097E-3</v>
      </c>
      <c r="G54" s="129">
        <v>0</v>
      </c>
      <c r="H54" s="129">
        <v>-3.3698934986489126E-3</v>
      </c>
      <c r="I54" s="129">
        <v>6.6079329903301343E-4</v>
      </c>
      <c r="J54" s="128">
        <v>1.102526206387866E-2</v>
      </c>
      <c r="K54" s="128">
        <v>4.5533625222475838E-3</v>
      </c>
      <c r="Z54" s="1">
        <f t="shared" si="20"/>
        <v>38383</v>
      </c>
      <c r="AA54">
        <f t="shared" si="21"/>
        <v>150.56995190114321</v>
      </c>
      <c r="AB54">
        <f t="shared" si="22"/>
        <v>89.649577431608648</v>
      </c>
      <c r="AC54">
        <f t="shared" si="23"/>
        <v>171.17800000000003</v>
      </c>
      <c r="AD54">
        <f t="shared" si="24"/>
        <v>164.98350478742793</v>
      </c>
      <c r="AE54">
        <f t="shared" si="25"/>
        <v>100</v>
      </c>
      <c r="AF54">
        <f t="shared" si="26"/>
        <v>135.72758366887481</v>
      </c>
      <c r="AG54">
        <f t="shared" si="27"/>
        <v>126.5512927689137</v>
      </c>
      <c r="AH54">
        <f t="shared" si="28"/>
        <v>138.55809305379796</v>
      </c>
      <c r="AI54">
        <f t="shared" si="29"/>
        <v>122.71587613694497</v>
      </c>
    </row>
    <row r="55" spans="1:35" x14ac:dyDescent="0.2">
      <c r="A55">
        <f t="shared" si="18"/>
        <v>51</v>
      </c>
      <c r="B55" s="1">
        <v>38411</v>
      </c>
      <c r="C55" s="128">
        <v>2.162055703807586E-2</v>
      </c>
      <c r="D55" s="212">
        <v>2.4966523343877167E-2</v>
      </c>
      <c r="E55" s="129">
        <v>7.0482188131652412E-2</v>
      </c>
      <c r="F55" s="129">
        <v>-1.4418850912679804E-2</v>
      </c>
      <c r="G55" s="129">
        <v>0</v>
      </c>
      <c r="H55" s="129">
        <v>1.4322625921082022E-2</v>
      </c>
      <c r="I55" s="129">
        <v>-2.6198062487515772E-3</v>
      </c>
      <c r="J55" s="128">
        <v>-2.1727160747136987E-3</v>
      </c>
      <c r="K55" s="128">
        <v>3.9844367969403827E-3</v>
      </c>
      <c r="Z55" s="1">
        <f t="shared" si="20"/>
        <v>38411</v>
      </c>
      <c r="AA55">
        <f t="shared" si="21"/>
        <v>153.82535813444221</v>
      </c>
      <c r="AB55">
        <f t="shared" si="22"/>
        <v>91.887815699323625</v>
      </c>
      <c r="AC55">
        <f t="shared" si="23"/>
        <v>183.24300000000002</v>
      </c>
      <c r="AD55">
        <f t="shared" si="24"/>
        <v>162.60463222884661</v>
      </c>
      <c r="AE55">
        <f t="shared" si="25"/>
        <v>100</v>
      </c>
      <c r="AF55">
        <f t="shared" si="26"/>
        <v>137.67155907693646</v>
      </c>
      <c r="AG55">
        <f t="shared" si="27"/>
        <v>126.21975290133011</v>
      </c>
      <c r="AH55">
        <f t="shared" si="28"/>
        <v>138.2570456577383</v>
      </c>
      <c r="AI55">
        <f t="shared" si="29"/>
        <v>123.2048297893938</v>
      </c>
    </row>
    <row r="56" spans="1:35" x14ac:dyDescent="0.2">
      <c r="A56">
        <f t="shared" si="18"/>
        <v>52</v>
      </c>
      <c r="B56" s="1">
        <v>38442</v>
      </c>
      <c r="C56" s="128">
        <v>-9.7389886636918277E-3</v>
      </c>
      <c r="D56" s="212">
        <v>-1.0073969782897652E-2</v>
      </c>
      <c r="E56" s="129">
        <v>-4.7106847191980106E-2</v>
      </c>
      <c r="F56" s="129">
        <v>-1.2705234389668862E-2</v>
      </c>
      <c r="G56" s="129">
        <v>0</v>
      </c>
      <c r="H56" s="129">
        <v>-1.5409774199635073E-3</v>
      </c>
      <c r="I56" s="129">
        <v>1.6315180841077748E-3</v>
      </c>
      <c r="J56" s="128">
        <v>7.4227058224032305E-3</v>
      </c>
      <c r="K56" s="128">
        <v>4.6969490915655943E-3</v>
      </c>
      <c r="Z56" s="1">
        <f t="shared" si="20"/>
        <v>38442</v>
      </c>
      <c r="AA56">
        <f t="shared" si="21"/>
        <v>152.32725471538254</v>
      </c>
      <c r="AB56">
        <f t="shared" si="22"/>
        <v>90.962140620552177</v>
      </c>
      <c r="AC56">
        <f t="shared" si="23"/>
        <v>174.61100000000002</v>
      </c>
      <c r="AD56">
        <f t="shared" si="24"/>
        <v>160.53870226353322</v>
      </c>
      <c r="AE56">
        <f t="shared" si="25"/>
        <v>100</v>
      </c>
      <c r="AF56">
        <f t="shared" si="26"/>
        <v>137.45941031302772</v>
      </c>
      <c r="AG56">
        <f t="shared" si="27"/>
        <v>126.42568271076024</v>
      </c>
      <c r="AH56">
        <f t="shared" si="28"/>
        <v>139.28328703553026</v>
      </c>
      <c r="AI56">
        <f t="shared" si="29"/>
        <v>123.78351660274959</v>
      </c>
    </row>
    <row r="57" spans="1:35" x14ac:dyDescent="0.2">
      <c r="A57">
        <f t="shared" si="18"/>
        <v>53</v>
      </c>
      <c r="B57" s="1">
        <v>38471</v>
      </c>
      <c r="C57" s="128">
        <v>-3.1476310724973144E-2</v>
      </c>
      <c r="D57" s="212">
        <v>-2.2879696124399218E-2</v>
      </c>
      <c r="E57" s="129">
        <v>-3.6326462823075278E-2</v>
      </c>
      <c r="F57" s="129">
        <v>4.3107091539176245E-3</v>
      </c>
      <c r="G57" s="129">
        <v>0</v>
      </c>
      <c r="H57" s="129">
        <v>-1.0362531103341954E-2</v>
      </c>
      <c r="I57" s="129">
        <v>1.5723182529777224E-2</v>
      </c>
      <c r="J57" s="128">
        <v>1.5286518270904548E-2</v>
      </c>
      <c r="K57" s="128">
        <v>4.9633577030312459E-3</v>
      </c>
      <c r="Z57" s="1">
        <f t="shared" si="20"/>
        <v>38471</v>
      </c>
      <c r="AA57">
        <f t="shared" si="21"/>
        <v>147.53255471407903</v>
      </c>
      <c r="AB57">
        <f t="shared" si="22"/>
        <v>88.880954484329067</v>
      </c>
      <c r="AC57">
        <f t="shared" si="23"/>
        <v>168.26800000000003</v>
      </c>
      <c r="AD57">
        <f t="shared" si="24"/>
        <v>161.23073791693869</v>
      </c>
      <c r="AE57">
        <f t="shared" si="25"/>
        <v>100</v>
      </c>
      <c r="AF57">
        <f t="shared" si="26"/>
        <v>136.03498289821192</v>
      </c>
      <c r="AG57">
        <f t="shared" si="27"/>
        <v>128.41349679647323</v>
      </c>
      <c r="AH57">
        <f t="shared" si="28"/>
        <v>141.41244354763055</v>
      </c>
      <c r="AI57">
        <f t="shared" si="29"/>
        <v>124.39789847338814</v>
      </c>
    </row>
    <row r="58" spans="1:35" x14ac:dyDescent="0.2">
      <c r="A58">
        <f t="shared" si="18"/>
        <v>54</v>
      </c>
      <c r="B58" s="1">
        <v>38503</v>
      </c>
      <c r="C58" s="128">
        <v>3.2064130027111171E-2</v>
      </c>
      <c r="D58" s="212">
        <v>3.5534805644442224E-2</v>
      </c>
      <c r="E58" s="129">
        <v>4.4215180545320587E-2</v>
      </c>
      <c r="F58" s="129">
        <v>7.6376030971219144E-3</v>
      </c>
      <c r="G58" s="129">
        <v>0</v>
      </c>
      <c r="H58" s="129">
        <v>1.4640356460853265E-3</v>
      </c>
      <c r="I58" s="129">
        <v>1.0400727311791647E-2</v>
      </c>
      <c r="J58" s="128">
        <v>1.1617013557018385E-2</v>
      </c>
      <c r="K58" s="128">
        <v>4.8470656253920552E-3</v>
      </c>
      <c r="Z58" s="1">
        <f t="shared" si="20"/>
        <v>38503</v>
      </c>
      <c r="AA58">
        <f t="shared" si="21"/>
        <v>152.26305773166314</v>
      </c>
      <c r="AB58">
        <f t="shared" si="22"/>
        <v>92.039321927422222</v>
      </c>
      <c r="AC58">
        <f t="shared" si="23"/>
        <v>175.70800000000003</v>
      </c>
      <c r="AD58">
        <f t="shared" si="24"/>
        <v>162.46215430020436</v>
      </c>
      <c r="AE58">
        <f t="shared" si="25"/>
        <v>100</v>
      </c>
      <c r="AF58">
        <f t="shared" si="26"/>
        <v>136.23414296228952</v>
      </c>
      <c r="AG58">
        <f t="shared" si="27"/>
        <v>129.74909055980697</v>
      </c>
      <c r="AH58">
        <f t="shared" si="28"/>
        <v>143.05523382145446</v>
      </c>
      <c r="AI58">
        <f t="shared" si="29"/>
        <v>125.00086325094951</v>
      </c>
    </row>
    <row r="59" spans="1:35" x14ac:dyDescent="0.2">
      <c r="A59">
        <f t="shared" si="18"/>
        <v>55</v>
      </c>
      <c r="B59" s="1">
        <v>38533</v>
      </c>
      <c r="C59" s="128">
        <v>4.7693016920829168E-2</v>
      </c>
      <c r="D59" s="212">
        <v>1.6818301554173187E-2</v>
      </c>
      <c r="E59" s="129">
        <v>3.7676144512486687E-2</v>
      </c>
      <c r="F59" s="129">
        <v>4.4737006953289749E-2</v>
      </c>
      <c r="G59" s="129">
        <v>0</v>
      </c>
      <c r="H59" s="129">
        <v>1.3061717409267093E-2</v>
      </c>
      <c r="I59" s="129">
        <v>5.8395722348034695E-3</v>
      </c>
      <c r="J59" s="128">
        <v>1.1357811891509861E-2</v>
      </c>
      <c r="K59" s="128">
        <v>4.6337823052189364E-3</v>
      </c>
      <c r="Z59" s="1">
        <f t="shared" si="20"/>
        <v>38533</v>
      </c>
      <c r="AA59">
        <f t="shared" si="21"/>
        <v>159.52494232047653</v>
      </c>
      <c r="AB59">
        <f t="shared" si="22"/>
        <v>93.587266998439233</v>
      </c>
      <c r="AC59">
        <f t="shared" si="23"/>
        <v>182.32800000000003</v>
      </c>
      <c r="AD59">
        <f t="shared" si="24"/>
        <v>169.73022482677902</v>
      </c>
      <c r="AE59">
        <f t="shared" si="25"/>
        <v>100</v>
      </c>
      <c r="AF59">
        <f t="shared" si="26"/>
        <v>138.01359483915664</v>
      </c>
      <c r="AG59">
        <f t="shared" si="27"/>
        <v>130.50676974653103</v>
      </c>
      <c r="AH59">
        <f t="shared" si="28"/>
        <v>144.68002825729451</v>
      </c>
      <c r="AI59">
        <f t="shared" si="29"/>
        <v>125.58009003921885</v>
      </c>
    </row>
    <row r="60" spans="1:35" x14ac:dyDescent="0.2">
      <c r="A60">
        <f t="shared" si="18"/>
        <v>56</v>
      </c>
      <c r="B60" s="1">
        <v>38562</v>
      </c>
      <c r="C60" s="128">
        <v>2.6485758818134197E-2</v>
      </c>
      <c r="D60" s="212">
        <v>3.7586043784657353E-2</v>
      </c>
      <c r="E60" s="129">
        <v>6.7109824053354306E-2</v>
      </c>
      <c r="F60" s="129">
        <v>2.4428632816013263E-2</v>
      </c>
      <c r="G60" s="129">
        <v>0</v>
      </c>
      <c r="H60" s="129">
        <v>1.9230165950371747E-2</v>
      </c>
      <c r="I60" s="129">
        <v>4.5691010745172456E-3</v>
      </c>
      <c r="J60" s="128">
        <v>-3.7890717005898411E-3</v>
      </c>
      <c r="K60" s="128">
        <v>4.7969965611860399E-3</v>
      </c>
      <c r="Z60" s="1">
        <f t="shared" si="20"/>
        <v>38562</v>
      </c>
      <c r="AA60">
        <f t="shared" si="21"/>
        <v>163.75008146825343</v>
      </c>
      <c r="AB60">
        <f t="shared" si="22"/>
        <v>97.104842113528989</v>
      </c>
      <c r="AC60">
        <f t="shared" si="23"/>
        <v>194.56400000000002</v>
      </c>
      <c r="AD60">
        <f t="shared" si="24"/>
        <v>173.87650216685179</v>
      </c>
      <c r="AE60">
        <f t="shared" si="25"/>
        <v>100</v>
      </c>
      <c r="AF60">
        <f t="shared" si="26"/>
        <v>140.66761917132098</v>
      </c>
      <c r="AG60">
        <f t="shared" si="27"/>
        <v>131.1030683684117</v>
      </c>
      <c r="AH60">
        <f t="shared" si="28"/>
        <v>144.13182525658425</v>
      </c>
      <c r="AI60">
        <f t="shared" si="29"/>
        <v>126.18249729929042</v>
      </c>
    </row>
    <row r="61" spans="1:35" x14ac:dyDescent="0.2">
      <c r="A61">
        <f t="shared" si="18"/>
        <v>57</v>
      </c>
      <c r="B61" s="1">
        <v>38595</v>
      </c>
      <c r="C61" s="128">
        <v>2.013744968622655E-2</v>
      </c>
      <c r="D61" s="212">
        <v>8.4607414520743163E-4</v>
      </c>
      <c r="E61" s="129">
        <v>1.3399189983758664E-2</v>
      </c>
      <c r="F61" s="129">
        <v>1.8636933417226276E-2</v>
      </c>
      <c r="G61" s="129">
        <v>0</v>
      </c>
      <c r="H61" s="129">
        <v>8.8334872268389653E-3</v>
      </c>
      <c r="I61" s="129">
        <v>8.188757535511515E-3</v>
      </c>
      <c r="J61" s="128">
        <v>1.1107605970545942E-2</v>
      </c>
      <c r="K61" s="128">
        <v>4.7837984560883395E-3</v>
      </c>
      <c r="Z61" s="1">
        <f t="shared" si="20"/>
        <v>38595</v>
      </c>
      <c r="AA61">
        <f t="shared" si="21"/>
        <v>167.04759049493589</v>
      </c>
      <c r="AB61">
        <f t="shared" si="22"/>
        <v>97.187000009815691</v>
      </c>
      <c r="AC61">
        <f t="shared" si="23"/>
        <v>197.17100000000005</v>
      </c>
      <c r="AD61">
        <f t="shared" si="24"/>
        <v>177.11702696055562</v>
      </c>
      <c r="AE61">
        <f t="shared" si="25"/>
        <v>100</v>
      </c>
      <c r="AF61">
        <f t="shared" si="26"/>
        <v>141.91020478850069</v>
      </c>
      <c r="AG61">
        <f t="shared" si="27"/>
        <v>132.17663960744221</v>
      </c>
      <c r="AH61">
        <f t="shared" si="28"/>
        <v>145.73278477934997</v>
      </c>
      <c r="AI61">
        <f t="shared" si="29"/>
        <v>126.78612893505614</v>
      </c>
    </row>
    <row r="62" spans="1:35" x14ac:dyDescent="0.2">
      <c r="A62">
        <f t="shared" si="18"/>
        <v>58</v>
      </c>
      <c r="B62" s="1">
        <v>38625</v>
      </c>
      <c r="C62" s="128">
        <v>5.0921977403731056E-2</v>
      </c>
      <c r="D62" s="212">
        <v>3.2869513751979662E-2</v>
      </c>
      <c r="E62" s="129">
        <v>8.6848471631223667E-2</v>
      </c>
      <c r="F62" s="129">
        <v>1.1922774894177479E-3</v>
      </c>
      <c r="G62" s="129">
        <v>0</v>
      </c>
      <c r="H62" s="129">
        <v>1.6261402812948189E-2</v>
      </c>
      <c r="I62" s="129">
        <v>-6.1506619999581735E-3</v>
      </c>
      <c r="J62" s="128">
        <v>-2.0907090544844964E-3</v>
      </c>
      <c r="K62" s="128">
        <v>4.5608769958087603E-3</v>
      </c>
      <c r="Z62" s="1">
        <f t="shared" si="20"/>
        <v>38625</v>
      </c>
      <c r="AA62">
        <f t="shared" si="21"/>
        <v>175.55398412346673</v>
      </c>
      <c r="AB62">
        <f t="shared" si="22"/>
        <v>100.38148944315198</v>
      </c>
      <c r="AC62">
        <f t="shared" si="23"/>
        <v>214.29500000000004</v>
      </c>
      <c r="AD62">
        <f t="shared" si="24"/>
        <v>177.3281996047933</v>
      </c>
      <c r="AE62">
        <f t="shared" si="25"/>
        <v>100</v>
      </c>
      <c r="AF62">
        <f t="shared" si="26"/>
        <v>144.21786379183447</v>
      </c>
      <c r="AG62">
        <f t="shared" si="27"/>
        <v>131.36366577292654</v>
      </c>
      <c r="AH62">
        <f t="shared" si="28"/>
        <v>145.42809992667654</v>
      </c>
      <c r="AI62">
        <f t="shared" si="29"/>
        <v>127.36438487390369</v>
      </c>
    </row>
    <row r="63" spans="1:35" x14ac:dyDescent="0.2">
      <c r="A63">
        <f t="shared" si="18"/>
        <v>59</v>
      </c>
      <c r="B63" s="1">
        <v>38656</v>
      </c>
      <c r="C63" s="128">
        <v>-3.8430796017961177E-2</v>
      </c>
      <c r="D63" s="212">
        <v>-1.9156970106775861E-2</v>
      </c>
      <c r="E63" s="129">
        <v>-5.488228843416787E-2</v>
      </c>
      <c r="F63" s="129">
        <v>-1.8044602162674006E-2</v>
      </c>
      <c r="G63" s="129">
        <v>0</v>
      </c>
      <c r="H63" s="129">
        <v>-1.4560192134494221E-2</v>
      </c>
      <c r="I63" s="129">
        <v>1.7793972657904611E-3</v>
      </c>
      <c r="J63" s="128">
        <v>-4.4587291108146854E-3</v>
      </c>
      <c r="K63" s="128">
        <v>4.7747048129418435E-3</v>
      </c>
      <c r="Z63" s="1">
        <f t="shared" si="20"/>
        <v>38656</v>
      </c>
      <c r="AA63">
        <f t="shared" si="21"/>
        <v>168.80730476947738</v>
      </c>
      <c r="AB63">
        <f t="shared" si="22"/>
        <v>98.458484250615882</v>
      </c>
      <c r="AC63">
        <f t="shared" si="23"/>
        <v>202.53400000000005</v>
      </c>
      <c r="AD63">
        <f t="shared" si="24"/>
        <v>174.12838279070155</v>
      </c>
      <c r="AE63">
        <f t="shared" si="25"/>
        <v>100</v>
      </c>
      <c r="AF63">
        <f t="shared" si="26"/>
        <v>142.11802398579906</v>
      </c>
      <c r="AG63">
        <f t="shared" si="27"/>
        <v>131.5974139206271</v>
      </c>
      <c r="AH63">
        <f t="shared" si="28"/>
        <v>144.77967542400299</v>
      </c>
      <c r="AI63">
        <f t="shared" si="29"/>
        <v>127.97251221535849</v>
      </c>
    </row>
    <row r="64" spans="1:35" x14ac:dyDescent="0.2">
      <c r="A64">
        <f t="shared" si="18"/>
        <v>60</v>
      </c>
      <c r="B64" s="1">
        <v>38686</v>
      </c>
      <c r="C64" s="128">
        <v>4.4381288903268645E-2</v>
      </c>
      <c r="D64" s="212">
        <v>4.2206117147883138E-2</v>
      </c>
      <c r="E64" s="129">
        <v>7.342964638036098E-2</v>
      </c>
      <c r="F64" s="129">
        <v>3.4097993376193347E-2</v>
      </c>
      <c r="G64" s="129">
        <v>0</v>
      </c>
      <c r="H64" s="129">
        <v>1.4805788271134768E-2</v>
      </c>
      <c r="I64" s="129">
        <v>7.4883069655724555E-3</v>
      </c>
      <c r="J64" s="128">
        <v>6.3451533329410559E-3</v>
      </c>
      <c r="K64" s="128">
        <v>4.6337559116711446E-3</v>
      </c>
      <c r="Z64" s="1">
        <f t="shared" si="20"/>
        <v>38686</v>
      </c>
      <c r="AA64">
        <f t="shared" si="21"/>
        <v>176.29919053143368</v>
      </c>
      <c r="AB64">
        <f t="shared" si="22"/>
        <v>102.61403457110038</v>
      </c>
      <c r="AC64">
        <f t="shared" si="23"/>
        <v>217.40600000000009</v>
      </c>
      <c r="AD64">
        <f t="shared" si="24"/>
        <v>180.06581123370614</v>
      </c>
      <c r="AE64">
        <f t="shared" si="25"/>
        <v>100</v>
      </c>
      <c r="AF64">
        <f t="shared" si="26"/>
        <v>144.22219335844485</v>
      </c>
      <c r="AG64">
        <f t="shared" si="27"/>
        <v>132.58285575194026</v>
      </c>
      <c r="AH64">
        <f t="shared" si="28"/>
        <v>145.69832466406172</v>
      </c>
      <c r="AI64">
        <f t="shared" si="29"/>
        <v>128.56550560036783</v>
      </c>
    </row>
    <row r="65" spans="1:35" x14ac:dyDescent="0.2">
      <c r="A65">
        <f t="shared" si="18"/>
        <v>61</v>
      </c>
      <c r="B65" s="1">
        <v>38716</v>
      </c>
      <c r="C65" s="128">
        <v>3.1032569336594928E-2</v>
      </c>
      <c r="D65" s="212">
        <v>2.156827858400745E-2</v>
      </c>
      <c r="E65" s="129">
        <v>5.4432720348104535E-2</v>
      </c>
      <c r="F65" s="129">
        <v>5.322601155797102E-2</v>
      </c>
      <c r="G65" s="129">
        <v>0</v>
      </c>
      <c r="H65" s="129">
        <v>1.6120800936627599E-2</v>
      </c>
      <c r="I65" s="129">
        <v>9.2270702864087895E-3</v>
      </c>
      <c r="J65" s="128">
        <v>9.6978496672339709E-3</v>
      </c>
      <c r="K65" s="128">
        <v>4.7268056389242474E-3</v>
      </c>
      <c r="Z65" s="1">
        <f t="shared" si="20"/>
        <v>38716</v>
      </c>
      <c r="AA65">
        <f t="shared" si="21"/>
        <v>181.77020738558596</v>
      </c>
      <c r="AB65">
        <f t="shared" si="22"/>
        <v>104.82724265535884</v>
      </c>
      <c r="AC65">
        <f t="shared" si="23"/>
        <v>229.24000000000012</v>
      </c>
      <c r="AD65">
        <f t="shared" si="24"/>
        <v>189.64999618362683</v>
      </c>
      <c r="AE65">
        <f t="shared" si="25"/>
        <v>100</v>
      </c>
      <c r="AF65">
        <f t="shared" si="26"/>
        <v>146.54717062822016</v>
      </c>
      <c r="AG65">
        <f t="shared" si="27"/>
        <v>133.80620708073621</v>
      </c>
      <c r="AH65">
        <f t="shared" si="28"/>
        <v>147.11128511342164</v>
      </c>
      <c r="AI65">
        <f t="shared" si="29"/>
        <v>129.1732097572108</v>
      </c>
    </row>
    <row r="66" spans="1:35" x14ac:dyDescent="0.2">
      <c r="A66">
        <f t="shared" si="18"/>
        <v>62</v>
      </c>
      <c r="B66" s="1">
        <v>38748</v>
      </c>
      <c r="C66" s="128">
        <v>3.5567572723006036E-2</v>
      </c>
      <c r="D66" s="212">
        <v>3.2140594794599187E-2</v>
      </c>
      <c r="E66" s="129">
        <v>8.0980631652416646E-2</v>
      </c>
      <c r="F66" s="129">
        <v>-1.1814579960826577E-2</v>
      </c>
      <c r="G66" s="129">
        <v>3.5269999999999913E-2</v>
      </c>
      <c r="H66" s="129">
        <v>3.2261876624911201E-2</v>
      </c>
      <c r="I66" s="129">
        <v>1.6531900753211648E-3</v>
      </c>
      <c r="J66" s="128">
        <v>-6.9948225299665268E-4</v>
      </c>
      <c r="K66" s="128">
        <v>4.7899625145841895E-3</v>
      </c>
      <c r="Z66" s="1">
        <f t="shared" si="20"/>
        <v>38748</v>
      </c>
      <c r="AA66">
        <f t="shared" si="21"/>
        <v>188.23533245564869</v>
      </c>
      <c r="AB66">
        <f t="shared" si="22"/>
        <v>108.19645258497985</v>
      </c>
      <c r="AC66">
        <f t="shared" si="23"/>
        <v>247.80400000000012</v>
      </c>
      <c r="AD66">
        <f t="shared" si="24"/>
        <v>187.40936113914492</v>
      </c>
      <c r="AE66">
        <f t="shared" si="25"/>
        <v>103.52699999999999</v>
      </c>
      <c r="AF66">
        <f t="shared" si="26"/>
        <v>151.27505736675761</v>
      </c>
      <c r="AG66">
        <f t="shared" si="27"/>
        <v>134.02741417429846</v>
      </c>
      <c r="AH66">
        <f t="shared" si="28"/>
        <v>147.00838338026927</v>
      </c>
      <c r="AI66">
        <f t="shared" si="29"/>
        <v>129.79194458983636</v>
      </c>
    </row>
    <row r="67" spans="1:35" x14ac:dyDescent="0.2">
      <c r="A67">
        <f t="shared" si="18"/>
        <v>63</v>
      </c>
      <c r="B67" s="1">
        <v>38776</v>
      </c>
      <c r="C67" s="128">
        <v>5.8019437913972016E-3</v>
      </c>
      <c r="D67" s="212">
        <v>3.2319579632269502E-3</v>
      </c>
      <c r="E67" s="129">
        <v>-5.3267905279985595E-4</v>
      </c>
      <c r="F67" s="129">
        <v>3.4559688659607124E-2</v>
      </c>
      <c r="G67" s="129">
        <v>1.7715185410569045E-2</v>
      </c>
      <c r="H67" s="129">
        <v>3.3772180881510572E-3</v>
      </c>
      <c r="I67" s="129">
        <v>5.7107968596785685E-3</v>
      </c>
      <c r="J67" s="128">
        <v>3.3663763465507923E-3</v>
      </c>
      <c r="K67" s="128">
        <v>4.3051984189541592E-3</v>
      </c>
      <c r="Z67" s="1">
        <f t="shared" si="20"/>
        <v>38776</v>
      </c>
      <c r="AA67">
        <f t="shared" si="21"/>
        <v>189.32746327411132</v>
      </c>
      <c r="AB67">
        <f t="shared" si="22"/>
        <v>108.54613897150479</v>
      </c>
      <c r="AC67">
        <f t="shared" si="23"/>
        <v>247.67200000000011</v>
      </c>
      <c r="AD67">
        <f t="shared" si="24"/>
        <v>193.88617031200965</v>
      </c>
      <c r="AE67">
        <f t="shared" si="25"/>
        <v>105.36099999999996</v>
      </c>
      <c r="AF67">
        <f t="shared" si="26"/>
        <v>151.7859462267827</v>
      </c>
      <c r="AG67">
        <f t="shared" si="27"/>
        <v>134.79281751027588</v>
      </c>
      <c r="AH67">
        <f t="shared" si="28"/>
        <v>147.50326892482528</v>
      </c>
      <c r="AI67">
        <f t="shared" si="29"/>
        <v>130.35072466447753</v>
      </c>
    </row>
    <row r="68" spans="1:35" x14ac:dyDescent="0.2">
      <c r="A68">
        <f t="shared" si="18"/>
        <v>64</v>
      </c>
      <c r="B68" s="1">
        <v>38807</v>
      </c>
      <c r="C68" s="128">
        <v>4.7711009605404975E-2</v>
      </c>
      <c r="D68" s="212">
        <v>2.4453908379682199E-2</v>
      </c>
      <c r="E68" s="129">
        <v>1.4155818986401281E-2</v>
      </c>
      <c r="F68" s="129">
        <v>-5.629502617915505E-3</v>
      </c>
      <c r="G68" s="129">
        <v>-7.6119247159764925E-3</v>
      </c>
      <c r="H68" s="129">
        <v>1.8226938216669542E-2</v>
      </c>
      <c r="I68" s="129">
        <v>1.1376191407592717E-3</v>
      </c>
      <c r="J68" s="128">
        <v>-8.4454614243458792E-3</v>
      </c>
      <c r="K68" s="128">
        <v>4.7400614135251207E-3</v>
      </c>
      <c r="Z68" s="1">
        <f t="shared" si="20"/>
        <v>38807</v>
      </c>
      <c r="AA68">
        <f t="shared" si="21"/>
        <v>198.36046769294941</v>
      </c>
      <c r="AB68">
        <f t="shared" si="22"/>
        <v>111.20051630888221</v>
      </c>
      <c r="AC68">
        <f t="shared" si="23"/>
        <v>251.17800000000008</v>
      </c>
      <c r="AD68">
        <f t="shared" si="24"/>
        <v>192.79468760866058</v>
      </c>
      <c r="AE68">
        <f t="shared" si="25"/>
        <v>104.55899999999997</v>
      </c>
      <c r="AF68">
        <f t="shared" si="26"/>
        <v>154.55253929081698</v>
      </c>
      <c r="AG68">
        <f t="shared" si="27"/>
        <v>134.94616039951245</v>
      </c>
      <c r="AH68">
        <f t="shared" si="28"/>
        <v>146.25753575715575</v>
      </c>
      <c r="AI68">
        <f t="shared" si="29"/>
        <v>130.96859510468465</v>
      </c>
    </row>
    <row r="69" spans="1:35" x14ac:dyDescent="0.2">
      <c r="A69">
        <f t="shared" si="18"/>
        <v>65</v>
      </c>
      <c r="B69" s="1">
        <v>38835</v>
      </c>
      <c r="C69" s="128">
        <v>2.6024437461311223E-2</v>
      </c>
      <c r="D69" s="212">
        <v>9.0826236729035781E-3</v>
      </c>
      <c r="E69" s="129">
        <v>5.2663847948466902E-2</v>
      </c>
      <c r="F69" s="129">
        <v>-2.6437337790877757E-3</v>
      </c>
      <c r="G69" s="129">
        <v>1.1084650771334914E-2</v>
      </c>
      <c r="H69" s="129">
        <v>2.2158724822814113E-2</v>
      </c>
      <c r="I69" s="129">
        <v>-5.582995656402745E-3</v>
      </c>
      <c r="J69" s="128">
        <v>-3.7645654387762351E-3</v>
      </c>
      <c r="K69" s="128">
        <v>4.422016766434389E-3</v>
      </c>
      <c r="Z69" s="1">
        <f t="shared" ref="Z69:Z100" si="30">B69</f>
        <v>38835</v>
      </c>
      <c r="AA69">
        <f t="shared" si="21"/>
        <v>203.52268727922103</v>
      </c>
      <c r="AB69">
        <f t="shared" si="22"/>
        <v>112.21050875074837</v>
      </c>
      <c r="AC69">
        <f t="shared" si="23"/>
        <v>264.40600000000012</v>
      </c>
      <c r="AD69">
        <f t="shared" si="24"/>
        <v>192.28498978060088</v>
      </c>
      <c r="AE69">
        <f t="shared" si="25"/>
        <v>105.71799999999998</v>
      </c>
      <c r="AF69">
        <f t="shared" si="26"/>
        <v>157.97722647962937</v>
      </c>
      <c r="AG69">
        <f t="shared" si="27"/>
        <v>134.19275657215374</v>
      </c>
      <c r="AH69">
        <f t="shared" si="28"/>
        <v>145.70693969288379</v>
      </c>
      <c r="AI69">
        <f t="shared" si="29"/>
        <v>131.54774042811391</v>
      </c>
    </row>
    <row r="70" spans="1:35" x14ac:dyDescent="0.2">
      <c r="A70">
        <f t="shared" si="18"/>
        <v>66</v>
      </c>
      <c r="B70" s="1">
        <v>38868</v>
      </c>
      <c r="C70" s="128">
        <v>-4.7359521956749417E-2</v>
      </c>
      <c r="D70" s="212">
        <v>-4.3913094062372204E-2</v>
      </c>
      <c r="E70" s="129">
        <v>-7.8598821509345496E-2</v>
      </c>
      <c r="F70" s="129">
        <v>-1.3615373419368471E-2</v>
      </c>
      <c r="G70" s="129">
        <v>-7.5956790707353283E-3</v>
      </c>
      <c r="H70" s="129">
        <v>-1.299057224292921E-2</v>
      </c>
      <c r="I70" s="129">
        <v>3.9850284253466484E-3</v>
      </c>
      <c r="J70" s="128">
        <v>5.3535061556453378E-3</v>
      </c>
      <c r="K70" s="128">
        <v>4.8364042617072833E-3</v>
      </c>
      <c r="Z70" s="1">
        <f t="shared" si="30"/>
        <v>38868</v>
      </c>
      <c r="AA70">
        <f t="shared" ref="AA70:AA101" si="31">IF($Z70&lt;$B$1,100,AA69*(1+C70))</f>
        <v>193.88395010232412</v>
      </c>
      <c r="AB70">
        <f t="shared" ref="AB70:AB101" si="32">IF($Z70&lt;$B$1,100,AB69*(1+D70))</f>
        <v>107.28299812519012</v>
      </c>
      <c r="AC70">
        <f t="shared" ref="AC70:AC101" si="33">IF($Z70&lt;$B$1,100,AC69*(1+E70))</f>
        <v>243.62400000000011</v>
      </c>
      <c r="AD70">
        <f t="shared" ref="AD70:AD101" si="34">IF($Z70&lt;$B$1,100,AD69*(1+F70))</f>
        <v>189.66695784179856</v>
      </c>
      <c r="AE70">
        <f t="shared" ref="AE70:AE101" si="35">IF($Z70&lt;$B$1,100,AE69*(1+G70))</f>
        <v>104.91499999999998</v>
      </c>
      <c r="AF70">
        <f t="shared" ref="AF70:AF101" si="36">IF($Z70&lt;$B$1,100,AF69*(1+H70))</f>
        <v>155.92501190630816</v>
      </c>
      <c r="AG70">
        <f t="shared" ref="AG70:AG101" si="37">IF($Z70&lt;$B$1,100,AG69*(1+I70))</f>
        <v>134.72751852156941</v>
      </c>
      <c r="AH70">
        <f t="shared" ref="AH70:AH101" si="38">IF($Z70&lt;$B$1,100,AH69*(1+J70))</f>
        <v>146.4869826914499</v>
      </c>
      <c r="AI70">
        <f t="shared" ref="AI70:AI101" si="39">IF($Z70&lt;$B$1,100,AI69*(1+K70))</f>
        <v>132.18395848053839</v>
      </c>
    </row>
    <row r="71" spans="1:35" x14ac:dyDescent="0.2">
      <c r="A71">
        <f t="shared" si="18"/>
        <v>67</v>
      </c>
      <c r="B71" s="1">
        <v>38898</v>
      </c>
      <c r="C71" s="128">
        <v>2.040446558620479E-2</v>
      </c>
      <c r="D71" s="212">
        <v>5.0152474868865315E-3</v>
      </c>
      <c r="E71" s="129">
        <v>5.3771385413581285E-4</v>
      </c>
      <c r="F71" s="129">
        <v>6.1808604823780922E-2</v>
      </c>
      <c r="G71" s="129">
        <v>1.7032836105418614E-2</v>
      </c>
      <c r="H71" s="129">
        <v>-1.055145221302789E-3</v>
      </c>
      <c r="I71" s="129">
        <v>1.7347580351030345E-3</v>
      </c>
      <c r="J71" s="128">
        <v>2.4569880071534378E-4</v>
      </c>
      <c r="K71" s="128">
        <v>4.8047432813647095E-3</v>
      </c>
      <c r="Z71" s="1">
        <f t="shared" si="30"/>
        <v>38898</v>
      </c>
      <c r="AA71">
        <f t="shared" si="31"/>
        <v>197.84004848990443</v>
      </c>
      <c r="AB71">
        <f t="shared" si="32"/>
        <v>107.82104891192313</v>
      </c>
      <c r="AC71">
        <f t="shared" si="33"/>
        <v>243.75500000000008</v>
      </c>
      <c r="AD71">
        <f t="shared" si="34"/>
        <v>201.39000788717101</v>
      </c>
      <c r="AE71">
        <f t="shared" si="35"/>
        <v>106.70199999999997</v>
      </c>
      <c r="AF71">
        <f t="shared" si="36"/>
        <v>155.76048837511362</v>
      </c>
      <c r="AG71">
        <f t="shared" si="37"/>
        <v>134.96123816687418</v>
      </c>
      <c r="AH71">
        <f t="shared" si="38"/>
        <v>146.52297436741759</v>
      </c>
      <c r="AI71">
        <f t="shared" si="39"/>
        <v>132.81906846695196</v>
      </c>
    </row>
    <row r="72" spans="1:35" x14ac:dyDescent="0.2">
      <c r="A72">
        <f t="shared" si="18"/>
        <v>68</v>
      </c>
      <c r="B72" s="1">
        <v>38929</v>
      </c>
      <c r="C72" s="128">
        <v>-1.6811841323731924E-2</v>
      </c>
      <c r="D72" s="212">
        <v>5.5223344562809196E-3</v>
      </c>
      <c r="E72" s="129">
        <v>1.0350556911653097E-2</v>
      </c>
      <c r="F72" s="129">
        <v>2.3999326216495032E-2</v>
      </c>
      <c r="G72" s="129">
        <v>9.6249367397049923E-3</v>
      </c>
      <c r="H72" s="129">
        <v>2.8630197909718103E-3</v>
      </c>
      <c r="I72" s="129">
        <v>8.130795567724558E-4</v>
      </c>
      <c r="J72" s="128">
        <v>1.0979907950911416E-2</v>
      </c>
      <c r="K72" s="128">
        <v>4.8233421604997329E-3</v>
      </c>
      <c r="Z72" s="1">
        <f t="shared" si="30"/>
        <v>38929</v>
      </c>
      <c r="AA72">
        <f t="shared" si="31"/>
        <v>194.51399298721273</v>
      </c>
      <c r="AB72">
        <f t="shared" si="32"/>
        <v>108.41647280544178</v>
      </c>
      <c r="AC72">
        <f t="shared" si="33"/>
        <v>246.27800000000008</v>
      </c>
      <c r="AD72">
        <f t="shared" si="34"/>
        <v>206.22323238319774</v>
      </c>
      <c r="AE72">
        <f t="shared" si="35"/>
        <v>107.72899999999997</v>
      </c>
      <c r="AF72">
        <f t="shared" si="36"/>
        <v>156.20643373598301</v>
      </c>
      <c r="AG72">
        <f t="shared" si="37"/>
        <v>135.07097239058436</v>
      </c>
      <c r="AH72">
        <f t="shared" si="38"/>
        <v>148.13178313866558</v>
      </c>
      <c r="AI72">
        <f t="shared" si="39"/>
        <v>133.45970027960692</v>
      </c>
    </row>
    <row r="73" spans="1:35" x14ac:dyDescent="0.2">
      <c r="A73">
        <f t="shared" si="18"/>
        <v>69</v>
      </c>
      <c r="B73" s="1">
        <v>38960</v>
      </c>
      <c r="C73" s="128">
        <v>3.3428982886950065E-2</v>
      </c>
      <c r="D73" s="212">
        <v>2.5589071035282851E-2</v>
      </c>
      <c r="E73" s="129">
        <v>2.8370378190500256E-2</v>
      </c>
      <c r="F73" s="129">
        <v>3.7147768584165464E-2</v>
      </c>
      <c r="G73" s="129">
        <v>2.7856937314929109E-2</v>
      </c>
      <c r="H73" s="129">
        <v>8.5368219740014073E-3</v>
      </c>
      <c r="I73" s="129">
        <v>1.0564190174414678E-2</v>
      </c>
      <c r="J73" s="128">
        <v>1.6174349536546284E-2</v>
      </c>
      <c r="K73" s="128">
        <v>5.2260197601208258E-3</v>
      </c>
      <c r="Z73" s="1">
        <f t="shared" si="30"/>
        <v>38960</v>
      </c>
      <c r="AA73">
        <f t="shared" si="31"/>
        <v>201.01639793005458</v>
      </c>
      <c r="AB73">
        <f t="shared" si="32"/>
        <v>111.19074962945504</v>
      </c>
      <c r="AC73">
        <f t="shared" si="33"/>
        <v>253.2650000000001</v>
      </c>
      <c r="AD73">
        <f t="shared" si="34"/>
        <v>213.88396529644734</v>
      </c>
      <c r="AE73">
        <f t="shared" si="35"/>
        <v>110.72999999999996</v>
      </c>
      <c r="AF73">
        <f t="shared" si="36"/>
        <v>157.53994025198074</v>
      </c>
      <c r="AG73">
        <f t="shared" si="37"/>
        <v>136.4978878299616</v>
      </c>
      <c r="AH73">
        <f t="shared" si="38"/>
        <v>150.52771837662223</v>
      </c>
      <c r="AI73">
        <f t="shared" si="39"/>
        <v>134.15716331044794</v>
      </c>
    </row>
    <row r="74" spans="1:35" x14ac:dyDescent="0.2">
      <c r="A74">
        <f t="shared" si="18"/>
        <v>70</v>
      </c>
      <c r="B74" s="1">
        <v>38989</v>
      </c>
      <c r="C74" s="128">
        <v>1.3112319750994805E-2</v>
      </c>
      <c r="D74" s="212">
        <v>1.8080771342663615E-2</v>
      </c>
      <c r="E74" s="129">
        <v>1.4317019722425162E-2</v>
      </c>
      <c r="F74" s="129">
        <v>3.8220121571628685E-2</v>
      </c>
      <c r="G74" s="129">
        <v>1.2101508173033571E-2</v>
      </c>
      <c r="H74" s="129">
        <v>1.2916701019594079E-3</v>
      </c>
      <c r="I74" s="129">
        <v>8.4021769067716967E-3</v>
      </c>
      <c r="J74" s="128">
        <v>7.6099716255590977E-3</v>
      </c>
      <c r="K74" s="128">
        <v>5.1087469158539456E-3</v>
      </c>
      <c r="Z74" s="1">
        <f t="shared" si="30"/>
        <v>38989</v>
      </c>
      <c r="AA74">
        <f t="shared" si="31"/>
        <v>203.65218921490666</v>
      </c>
      <c r="AB74">
        <f t="shared" si="32"/>
        <v>113.20116414892458</v>
      </c>
      <c r="AC74">
        <f t="shared" si="33"/>
        <v>256.89100000000013</v>
      </c>
      <c r="AD74">
        <f t="shared" si="34"/>
        <v>222.05863645229957</v>
      </c>
      <c r="AE74">
        <f t="shared" si="35"/>
        <v>112.06999999999996</v>
      </c>
      <c r="AF74">
        <f t="shared" si="36"/>
        <v>157.74342988266869</v>
      </c>
      <c r="AG74">
        <f t="shared" si="37"/>
        <v>137.64476723090962</v>
      </c>
      <c r="AH74">
        <f t="shared" si="38"/>
        <v>151.67323004232847</v>
      </c>
      <c r="AI74">
        <f t="shared" si="39"/>
        <v>134.84253830474989</v>
      </c>
    </row>
    <row r="75" spans="1:35" x14ac:dyDescent="0.2">
      <c r="A75">
        <f t="shared" ref="A75:A138" si="40">A74+1</f>
        <v>71</v>
      </c>
      <c r="B75" s="1">
        <v>39021</v>
      </c>
      <c r="C75" s="128">
        <v>4.7135788617017171E-2</v>
      </c>
      <c r="D75" s="212">
        <v>3.0845182719067221E-2</v>
      </c>
      <c r="E75" s="129">
        <v>3.5065455776963628E-2</v>
      </c>
      <c r="F75" s="129">
        <v>9.0132754854184149E-3</v>
      </c>
      <c r="G75" s="129">
        <v>4.5418042294994132E-2</v>
      </c>
      <c r="H75" s="129">
        <v>1.7703244222429637E-2</v>
      </c>
      <c r="I75" s="129">
        <v>-1.8520531719826705E-3</v>
      </c>
      <c r="J75" s="128">
        <v>5.1265092214687336E-3</v>
      </c>
      <c r="K75" s="128">
        <v>5.0647912831440767E-3</v>
      </c>
      <c r="Z75" s="1">
        <f t="shared" si="30"/>
        <v>39021</v>
      </c>
      <c r="AA75">
        <f t="shared" si="31"/>
        <v>213.25149575713328</v>
      </c>
      <c r="AB75">
        <f t="shared" si="32"/>
        <v>116.69287474110928</v>
      </c>
      <c r="AC75">
        <f t="shared" si="33"/>
        <v>265.89900000000011</v>
      </c>
      <c r="AD75">
        <f t="shared" si="34"/>
        <v>224.06011211656053</v>
      </c>
      <c r="AE75">
        <f t="shared" si="35"/>
        <v>117.15999999999995</v>
      </c>
      <c r="AF75">
        <f t="shared" si="36"/>
        <v>160.53600034636528</v>
      </c>
      <c r="AG75">
        <f t="shared" si="37"/>
        <v>137.38984180315279</v>
      </c>
      <c r="AH75">
        <f t="shared" si="38"/>
        <v>152.45078425479042</v>
      </c>
      <c r="AI75">
        <f t="shared" si="39"/>
        <v>135.52548761735281</v>
      </c>
    </row>
    <row r="76" spans="1:35" x14ac:dyDescent="0.2">
      <c r="A76">
        <f t="shared" si="40"/>
        <v>72</v>
      </c>
      <c r="B76" s="1">
        <v>39051</v>
      </c>
      <c r="C76" s="128">
        <v>2.3705662861556176E-2</v>
      </c>
      <c r="D76" s="212">
        <v>1.1271987968022312E-2</v>
      </c>
      <c r="E76" s="129">
        <v>6.5310512638257379E-2</v>
      </c>
      <c r="F76" s="129">
        <v>5.2271798210419496E-2</v>
      </c>
      <c r="G76" s="129">
        <v>2.9532263571184769E-2</v>
      </c>
      <c r="H76" s="129">
        <v>2.0712532700450481E-2</v>
      </c>
      <c r="I76" s="129">
        <v>7.5665556291102387E-3</v>
      </c>
      <c r="J76" s="128">
        <v>8.2818880946760043E-3</v>
      </c>
      <c r="K76" s="128">
        <v>5.1574641769109864E-3</v>
      </c>
      <c r="Z76" s="1">
        <f t="shared" si="30"/>
        <v>39051</v>
      </c>
      <c r="AA76">
        <f t="shared" si="31"/>
        <v>218.30676382027445</v>
      </c>
      <c r="AB76">
        <f t="shared" si="32"/>
        <v>118.008235421145</v>
      </c>
      <c r="AC76">
        <f t="shared" si="33"/>
        <v>283.2650000000001</v>
      </c>
      <c r="AD76">
        <f t="shared" si="34"/>
        <v>235.77213708412134</v>
      </c>
      <c r="AE76">
        <f t="shared" si="35"/>
        <v>120.61999999999996</v>
      </c>
      <c r="AF76">
        <f t="shared" si="36"/>
        <v>163.8611075031389</v>
      </c>
      <c r="AG76">
        <f t="shared" si="37"/>
        <v>138.42940968403101</v>
      </c>
      <c r="AH76">
        <f t="shared" si="38"/>
        <v>153.7133645899342</v>
      </c>
      <c r="AI76">
        <f t="shared" si="39"/>
        <v>136.2244554647977</v>
      </c>
    </row>
    <row r="77" spans="1:35" x14ac:dyDescent="0.2">
      <c r="A77">
        <f>A76+1</f>
        <v>73</v>
      </c>
      <c r="B77" s="1">
        <v>39080</v>
      </c>
      <c r="C77">
        <v>3.6705330359019461E-2</v>
      </c>
      <c r="D77" s="212">
        <v>2.6464930868197234E-2</v>
      </c>
      <c r="E77" s="129">
        <v>3.9496584470372298E-2</v>
      </c>
      <c r="F77" s="129">
        <v>7.1469680510492628E-2</v>
      </c>
      <c r="G77" s="129">
        <v>2.4456972309732983E-2</v>
      </c>
      <c r="H77" s="129">
        <v>1.8336988400665888E-2</v>
      </c>
      <c r="I77" s="129">
        <v>-3.0351485062893868E-3</v>
      </c>
      <c r="J77" s="128">
        <v>-3.5994026735217677E-3</v>
      </c>
      <c r="K77" s="128">
        <v>5.3361923708168391E-3</v>
      </c>
      <c r="Z77" s="1">
        <f t="shared" si="30"/>
        <v>39080</v>
      </c>
      <c r="AA77">
        <f t="shared" si="31"/>
        <v>226.31978570590607</v>
      </c>
      <c r="AB77">
        <f t="shared" si="32"/>
        <v>121.13131521344354</v>
      </c>
      <c r="AC77">
        <f t="shared" si="33"/>
        <v>294.45300000000009</v>
      </c>
      <c r="AD77">
        <f t="shared" si="34"/>
        <v>252.62269639479956</v>
      </c>
      <c r="AE77">
        <f t="shared" si="35"/>
        <v>123.56999999999995</v>
      </c>
      <c r="AF77">
        <f t="shared" si="36"/>
        <v>166.86582673074423</v>
      </c>
      <c r="AG77">
        <f t="shared" si="37"/>
        <v>138.00925586800201</v>
      </c>
      <c r="AH77">
        <f t="shared" si="38"/>
        <v>153.16008829447316</v>
      </c>
      <c r="AI77">
        <f t="shared" si="39"/>
        <v>136.95137536476764</v>
      </c>
    </row>
    <row r="78" spans="1:35" x14ac:dyDescent="0.2">
      <c r="A78">
        <f t="shared" si="40"/>
        <v>74</v>
      </c>
      <c r="B78" s="1">
        <v>39113</v>
      </c>
      <c r="C78">
        <v>1.8865865230243584E-2</v>
      </c>
      <c r="D78" s="212">
        <v>1.7930804234351783E-2</v>
      </c>
      <c r="E78" s="129">
        <v>-2.8561434252662998E-3</v>
      </c>
      <c r="F78" s="129">
        <v>2.5655056651279873E-2</v>
      </c>
      <c r="G78" s="129">
        <v>2.1429149469936126E-2</v>
      </c>
      <c r="H78" s="129">
        <v>1.3284554111206104E-2</v>
      </c>
      <c r="I78" s="129">
        <v>4.6786229639965704E-3</v>
      </c>
      <c r="J78" s="128">
        <v>7.2498096925111E-5</v>
      </c>
      <c r="K78" s="128">
        <v>5.4831372718091576E-3</v>
      </c>
      <c r="Z78" s="1">
        <f t="shared" si="30"/>
        <v>39113</v>
      </c>
      <c r="AA78">
        <f t="shared" si="31"/>
        <v>230.5895042819713</v>
      </c>
      <c r="AB78">
        <f t="shared" si="32"/>
        <v>123.30329711318535</v>
      </c>
      <c r="AC78">
        <f t="shared" si="33"/>
        <v>293.61200000000014</v>
      </c>
      <c r="AD78">
        <f t="shared" si="34"/>
        <v>259.10374598220722</v>
      </c>
      <c r="AE78">
        <f t="shared" si="35"/>
        <v>126.21799999999996</v>
      </c>
      <c r="AF78">
        <f t="shared" si="36"/>
        <v>169.08256483525994</v>
      </c>
      <c r="AG78">
        <f t="shared" si="37"/>
        <v>138.65494914175014</v>
      </c>
      <c r="AH78">
        <f t="shared" si="38"/>
        <v>153.17119210939939</v>
      </c>
      <c r="AI78">
        <f t="shared" si="39"/>
        <v>137.70229855545571</v>
      </c>
    </row>
    <row r="79" spans="1:35" x14ac:dyDescent="0.2">
      <c r="A79">
        <f t="shared" si="40"/>
        <v>75</v>
      </c>
      <c r="B79" s="1">
        <v>39141</v>
      </c>
      <c r="C79">
        <v>1.6203946436813554E-2</v>
      </c>
      <c r="D79" s="212">
        <v>-1.1814019839560874E-2</v>
      </c>
      <c r="E79" s="129">
        <v>-6.8117106930234428E-3</v>
      </c>
      <c r="F79" s="129">
        <v>-6.5986508115750686E-3</v>
      </c>
      <c r="G79" s="129">
        <v>1.5077088846281894E-2</v>
      </c>
      <c r="H79" s="129">
        <v>7.4001997285741972E-3</v>
      </c>
      <c r="I79" s="129">
        <v>1.1967906605104606E-2</v>
      </c>
      <c r="J79" s="128">
        <v>1.2173797837463418E-2</v>
      </c>
      <c r="K79" s="128">
        <v>4.9201130321212538E-3</v>
      </c>
      <c r="Z79" s="1">
        <f t="shared" si="30"/>
        <v>39141</v>
      </c>
      <c r="AA79">
        <f t="shared" si="31"/>
        <v>234.32596425824775</v>
      </c>
      <c r="AB79">
        <f t="shared" si="32"/>
        <v>121.84658951480691</v>
      </c>
      <c r="AC79">
        <f t="shared" si="33"/>
        <v>291.61200000000014</v>
      </c>
      <c r="AD79">
        <f t="shared" si="34"/>
        <v>257.39401083849958</v>
      </c>
      <c r="AE79">
        <f t="shared" si="35"/>
        <v>128.12099999999998</v>
      </c>
      <c r="AF79">
        <f t="shared" si="36"/>
        <v>170.33380958566048</v>
      </c>
      <c r="AG79">
        <f t="shared" si="37"/>
        <v>140.31435862341414</v>
      </c>
      <c r="AH79">
        <f t="shared" si="38"/>
        <v>155.03586723666248</v>
      </c>
      <c r="AI79">
        <f t="shared" si="39"/>
        <v>138.37980942913146</v>
      </c>
    </row>
    <row r="80" spans="1:35" x14ac:dyDescent="0.2">
      <c r="A80">
        <f t="shared" si="40"/>
        <v>76</v>
      </c>
      <c r="B80" s="1">
        <v>39171</v>
      </c>
      <c r="C80">
        <v>3.3024536923593306E-2</v>
      </c>
      <c r="D80" s="212">
        <v>1.5090187068534711E-2</v>
      </c>
      <c r="E80" s="129">
        <v>3.24266491090901E-2</v>
      </c>
      <c r="F80" s="129">
        <v>-3.9248635095106899E-2</v>
      </c>
      <c r="G80" s="129">
        <v>2.6537413850969083E-2</v>
      </c>
      <c r="H80" s="129">
        <v>1.2353210309592688E-2</v>
      </c>
      <c r="I80" s="129">
        <v>-2.6553470446365468E-3</v>
      </c>
      <c r="J80" s="128">
        <v>6.6928535882726514E-4</v>
      </c>
      <c r="K80" s="128">
        <v>5.2352325456559434E-3</v>
      </c>
      <c r="Z80" s="1">
        <f t="shared" si="30"/>
        <v>39171</v>
      </c>
      <c r="AA80">
        <f t="shared" si="31"/>
        <v>242.06447071705085</v>
      </c>
      <c r="AB80">
        <f t="shared" si="32"/>
        <v>123.68527734424831</v>
      </c>
      <c r="AC80">
        <f t="shared" si="33"/>
        <v>301.0680000000001</v>
      </c>
      <c r="AD80">
        <f t="shared" si="34"/>
        <v>247.29164723143333</v>
      </c>
      <c r="AE80">
        <f t="shared" si="35"/>
        <v>131.52099999999999</v>
      </c>
      <c r="AF80">
        <f t="shared" si="36"/>
        <v>172.43797895830625</v>
      </c>
      <c r="AG80">
        <f t="shared" si="37"/>
        <v>139.94177530592339</v>
      </c>
      <c r="AH80">
        <f t="shared" si="38"/>
        <v>155.13963047269706</v>
      </c>
      <c r="AI80">
        <f t="shared" si="39"/>
        <v>139.10425991111651</v>
      </c>
    </row>
    <row r="81" spans="1:35" x14ac:dyDescent="0.2">
      <c r="A81">
        <f t="shared" si="40"/>
        <v>77</v>
      </c>
      <c r="B81" s="1">
        <v>39202</v>
      </c>
      <c r="C81">
        <v>2.9989025581488082E-2</v>
      </c>
      <c r="D81" s="212">
        <v>3.4975479507661777E-2</v>
      </c>
      <c r="E81" s="129">
        <v>3.5364103790505697E-2</v>
      </c>
      <c r="F81" s="129">
        <v>3.3001930799858803E-2</v>
      </c>
      <c r="G81" s="129">
        <v>2.3266246454938688E-2</v>
      </c>
      <c r="H81" s="129">
        <v>2.0211911218238399E-2</v>
      </c>
      <c r="I81" s="129">
        <v>6.9177618346887293E-3</v>
      </c>
      <c r="J81" s="128">
        <v>3.4200806800919192E-3</v>
      </c>
      <c r="K81" s="128">
        <v>5.4750447915579148E-3</v>
      </c>
      <c r="Z81" s="1">
        <f t="shared" si="30"/>
        <v>39202</v>
      </c>
      <c r="AA81">
        <f t="shared" si="31"/>
        <v>249.32374832175387</v>
      </c>
      <c r="AB81">
        <f t="shared" si="32"/>
        <v>128.01122922740151</v>
      </c>
      <c r="AC81">
        <f t="shared" si="33"/>
        <v>311.71500000000009</v>
      </c>
      <c r="AD81">
        <f t="shared" si="34"/>
        <v>255.45274906074818</v>
      </c>
      <c r="AE81">
        <f t="shared" si="35"/>
        <v>134.58099999999999</v>
      </c>
      <c r="AF81">
        <f t="shared" si="36"/>
        <v>175.92328007966398</v>
      </c>
      <c r="AG81">
        <f t="shared" si="37"/>
        <v>140.90985917821328</v>
      </c>
      <c r="AH81">
        <f t="shared" si="38"/>
        <v>155.67022052559332</v>
      </c>
      <c r="AI81">
        <f t="shared" si="39"/>
        <v>139.86586196482639</v>
      </c>
    </row>
    <row r="82" spans="1:35" x14ac:dyDescent="0.2">
      <c r="A82">
        <f t="shared" si="40"/>
        <v>78</v>
      </c>
      <c r="B82" s="1">
        <v>39233</v>
      </c>
      <c r="C82">
        <v>2.6426006293599258E-2</v>
      </c>
      <c r="D82" s="212">
        <v>3.3718005735580592E-2</v>
      </c>
      <c r="E82" s="129">
        <v>3.9135107389763224E-2</v>
      </c>
      <c r="F82" s="129">
        <v>4.2322351035151362E-2</v>
      </c>
      <c r="G82" s="129">
        <v>7.4601912602818565E-3</v>
      </c>
      <c r="H82" s="129">
        <v>2.3084684862057836E-2</v>
      </c>
      <c r="I82" s="129">
        <v>4.8687343111253334E-4</v>
      </c>
      <c r="J82" s="128">
        <v>-5.8065567419823827E-3</v>
      </c>
      <c r="K82" s="128">
        <v>5.4015722236924191E-3</v>
      </c>
      <c r="Z82" s="1">
        <f t="shared" si="30"/>
        <v>39233</v>
      </c>
      <c r="AA82">
        <f t="shared" si="31"/>
        <v>255.9123792640483</v>
      </c>
      <c r="AB82">
        <f t="shared" si="32"/>
        <v>132.32751258870977</v>
      </c>
      <c r="AC82">
        <f t="shared" si="33"/>
        <v>323.91400000000016</v>
      </c>
      <c r="AD82">
        <f t="shared" si="34"/>
        <v>266.26410997939161</v>
      </c>
      <c r="AE82">
        <f t="shared" si="35"/>
        <v>135.58499999999998</v>
      </c>
      <c r="AF82">
        <f t="shared" si="36"/>
        <v>179.98441356020257</v>
      </c>
      <c r="AG82">
        <f t="shared" si="37"/>
        <v>140.97846444482897</v>
      </c>
      <c r="AH82">
        <f t="shared" si="38"/>
        <v>154.76631255707454</v>
      </c>
      <c r="AI82">
        <f t="shared" si="39"/>
        <v>140.62135751985841</v>
      </c>
    </row>
    <row r="83" spans="1:35" x14ac:dyDescent="0.2">
      <c r="A83">
        <f t="shared" si="40"/>
        <v>79</v>
      </c>
      <c r="B83" s="1">
        <v>39262</v>
      </c>
      <c r="C83">
        <v>-1.1312683907517274E-3</v>
      </c>
      <c r="D83" s="212">
        <v>-9.7276711967023699E-3</v>
      </c>
      <c r="E83" s="129">
        <v>4.6191272992214039E-2</v>
      </c>
      <c r="F83" s="129">
        <v>-4.8913874378901712E-2</v>
      </c>
      <c r="G83" s="129">
        <v>-4.068296640483815E-2</v>
      </c>
      <c r="H83" s="129">
        <v>7.7938947824205407E-3</v>
      </c>
      <c r="I83" s="129">
        <v>-4.504470808582739E-3</v>
      </c>
      <c r="J83" s="128">
        <v>-2.3626595877592749E-3</v>
      </c>
      <c r="K83" s="128">
        <v>5.1844659289612682E-3</v>
      </c>
      <c r="Z83" s="1">
        <f t="shared" si="30"/>
        <v>39262</v>
      </c>
      <c r="AA83">
        <f t="shared" si="31"/>
        <v>255.62287367858482</v>
      </c>
      <c r="AB83">
        <f t="shared" si="32"/>
        <v>131.04027405596929</v>
      </c>
      <c r="AC83">
        <f t="shared" si="33"/>
        <v>338.8760000000002</v>
      </c>
      <c r="AD83">
        <f t="shared" si="34"/>
        <v>253.24010075224959</v>
      </c>
      <c r="AE83">
        <f t="shared" si="35"/>
        <v>130.06899999999999</v>
      </c>
      <c r="AF83">
        <f t="shared" si="36"/>
        <v>181.38719314196646</v>
      </c>
      <c r="AG83">
        <f t="shared" si="37"/>
        <v>140.34343106709841</v>
      </c>
      <c r="AH83">
        <f t="shared" si="38"/>
        <v>154.40065244484941</v>
      </c>
      <c r="AI83">
        <f t="shared" si="39"/>
        <v>141.35040415680439</v>
      </c>
    </row>
    <row r="84" spans="1:35" x14ac:dyDescent="0.2">
      <c r="A84">
        <f t="shared" si="40"/>
        <v>80</v>
      </c>
      <c r="B84" s="1">
        <v>39294</v>
      </c>
      <c r="C84">
        <v>-2.0418783291910159E-2</v>
      </c>
      <c r="D84" s="212">
        <v>-3.0564816902484582E-2</v>
      </c>
      <c r="E84" s="129">
        <v>4.8032318606215929E-2</v>
      </c>
      <c r="F84" s="129">
        <v>-4.5481793551973793E-2</v>
      </c>
      <c r="G84" s="129">
        <v>-3.6249990389716324E-2</v>
      </c>
      <c r="H84" s="129">
        <v>-4.7738393603058427E-5</v>
      </c>
      <c r="I84" s="129">
        <v>6.6897959490379577E-3</v>
      </c>
      <c r="J84" s="128">
        <v>1.4518890863123524E-2</v>
      </c>
      <c r="K84" s="128">
        <v>5.2519689989594109E-3</v>
      </c>
      <c r="Z84" s="1">
        <f t="shared" si="30"/>
        <v>39294</v>
      </c>
      <c r="AA84">
        <f t="shared" si="31"/>
        <v>250.40336561648647</v>
      </c>
      <c r="AB84">
        <f t="shared" si="32"/>
        <v>127.0350520725972</v>
      </c>
      <c r="AC84">
        <f t="shared" si="33"/>
        <v>355.15300000000025</v>
      </c>
      <c r="AD84">
        <f t="shared" si="34"/>
        <v>241.72228677075472</v>
      </c>
      <c r="AE84">
        <f t="shared" si="35"/>
        <v>125.35399999999997</v>
      </c>
      <c r="AF84">
        <f t="shared" si="36"/>
        <v>181.3785340087457</v>
      </c>
      <c r="AG84">
        <f t="shared" si="37"/>
        <v>141.28229998372518</v>
      </c>
      <c r="AH84">
        <f t="shared" si="38"/>
        <v>156.64237866689126</v>
      </c>
      <c r="AI84">
        <f t="shared" si="39"/>
        <v>142.09277209742632</v>
      </c>
    </row>
    <row r="85" spans="1:35" x14ac:dyDescent="0.2">
      <c r="A85">
        <f t="shared" si="40"/>
        <v>81</v>
      </c>
      <c r="B85" s="1">
        <v>39325</v>
      </c>
      <c r="C85">
        <v>2.2216848917983478E-2</v>
      </c>
      <c r="D85" s="212">
        <v>-5.1228756099352957E-4</v>
      </c>
      <c r="E85" s="129">
        <v>-9.5705231266524082E-3</v>
      </c>
      <c r="F85" s="129">
        <v>8.0983222347748685E-2</v>
      </c>
      <c r="G85" s="129">
        <v>1.3162723167988277E-2</v>
      </c>
      <c r="H85" s="129">
        <v>-1.5300885589478064E-2</v>
      </c>
      <c r="I85" s="129">
        <v>8.5808406415597283E-3</v>
      </c>
      <c r="J85" s="128">
        <v>1.4012286569287546E-2</v>
      </c>
      <c r="K85" s="128">
        <v>5.3072133744060945E-3</v>
      </c>
      <c r="Z85" s="1">
        <f t="shared" si="30"/>
        <v>39325</v>
      </c>
      <c r="AA85">
        <f t="shared" si="31"/>
        <v>255.96653935894253</v>
      </c>
      <c r="AB85">
        <f t="shared" si="32"/>
        <v>126.96997359561024</v>
      </c>
      <c r="AC85">
        <f t="shared" si="33"/>
        <v>351.75400000000025</v>
      </c>
      <c r="AD85">
        <f t="shared" si="34"/>
        <v>261.29773646671703</v>
      </c>
      <c r="AE85">
        <f t="shared" si="35"/>
        <v>127.00399999999998</v>
      </c>
      <c r="AF85">
        <f t="shared" si="36"/>
        <v>178.60328181149063</v>
      </c>
      <c r="AG85">
        <f t="shared" si="37"/>
        <v>142.49462088535856</v>
      </c>
      <c r="AH85">
        <f t="shared" si="38"/>
        <v>158.83729656566661</v>
      </c>
      <c r="AI85">
        <f t="shared" si="39"/>
        <v>142.8468887579082</v>
      </c>
    </row>
    <row r="86" spans="1:35" x14ac:dyDescent="0.2">
      <c r="A86">
        <f t="shared" si="40"/>
        <v>82</v>
      </c>
      <c r="B86" s="1">
        <v>39353</v>
      </c>
      <c r="C86">
        <v>5.5814831044582514E-2</v>
      </c>
      <c r="D86" s="212">
        <v>2.9983409764891666E-2</v>
      </c>
      <c r="E86" s="129">
        <v>8.3919443702132668E-2</v>
      </c>
      <c r="F86" s="129">
        <v>2.1323968530106763E-2</v>
      </c>
      <c r="G86" s="129">
        <v>1.8526975528329714E-2</v>
      </c>
      <c r="H86" s="129">
        <v>2.7053233782604602E-2</v>
      </c>
      <c r="I86" s="129">
        <v>-4.8465903146999167E-4</v>
      </c>
      <c r="J86" s="128">
        <v>4.0419416988930479E-3</v>
      </c>
      <c r="K86" s="128">
        <v>5.7263151040927163E-3</v>
      </c>
      <c r="Z86" s="1">
        <f t="shared" si="30"/>
        <v>39353</v>
      </c>
      <c r="AA86">
        <f t="shared" si="31"/>
        <v>270.25326850632837</v>
      </c>
      <c r="AB86">
        <f t="shared" si="32"/>
        <v>130.7769663417649</v>
      </c>
      <c r="AC86">
        <f t="shared" si="33"/>
        <v>381.27300000000025</v>
      </c>
      <c r="AD86">
        <f t="shared" si="34"/>
        <v>266.86964117612143</v>
      </c>
      <c r="AE86">
        <f t="shared" si="35"/>
        <v>129.35699999999997</v>
      </c>
      <c r="AF86">
        <f t="shared" si="36"/>
        <v>183.43507814867729</v>
      </c>
      <c r="AG86">
        <f t="shared" si="37"/>
        <v>142.42555958041058</v>
      </c>
      <c r="AH86">
        <f t="shared" si="38"/>
        <v>159.47930765799481</v>
      </c>
      <c r="AI86">
        <f t="shared" si="39"/>
        <v>143.66487505457528</v>
      </c>
    </row>
    <row r="87" spans="1:35" x14ac:dyDescent="0.2">
      <c r="A87">
        <f t="shared" si="40"/>
        <v>83</v>
      </c>
      <c r="B87" s="1">
        <v>39386</v>
      </c>
      <c r="C87">
        <v>2.9420701856265996E-2</v>
      </c>
      <c r="D87" s="212">
        <v>2.1432595032786939E-2</v>
      </c>
      <c r="E87" s="129">
        <v>8.9531647926813562E-2</v>
      </c>
      <c r="F87" s="129">
        <v>-2.1863897239682295E-3</v>
      </c>
      <c r="G87" s="129">
        <v>3.8961942531134941E-2</v>
      </c>
      <c r="H87" s="129">
        <v>3.1627643504531733E-2</v>
      </c>
      <c r="I87" s="129">
        <v>-3.934385811554808E-4</v>
      </c>
      <c r="J87" s="128">
        <v>9.1083263607869558E-3</v>
      </c>
      <c r="K87" s="128">
        <v>5.7301058821448425E-3</v>
      </c>
      <c r="Z87" s="1">
        <f t="shared" si="30"/>
        <v>39386</v>
      </c>
      <c r="AA87">
        <f t="shared" si="31"/>
        <v>278.20430934473444</v>
      </c>
      <c r="AB87">
        <f t="shared" si="32"/>
        <v>133.57985610098436</v>
      </c>
      <c r="AC87">
        <f t="shared" si="33"/>
        <v>415.40900000000028</v>
      </c>
      <c r="AD87">
        <f t="shared" si="34"/>
        <v>266.28616013501488</v>
      </c>
      <c r="AE87">
        <f t="shared" si="35"/>
        <v>134.39699999999999</v>
      </c>
      <c r="AF87">
        <f t="shared" si="36"/>
        <v>189.23669740658957</v>
      </c>
      <c r="AG87">
        <f t="shared" si="37"/>
        <v>142.36952387032898</v>
      </c>
      <c r="AH87">
        <f t="shared" si="38"/>
        <v>160.93189723993618</v>
      </c>
      <c r="AI87">
        <f t="shared" si="39"/>
        <v>144.48809000018309</v>
      </c>
    </row>
    <row r="88" spans="1:35" x14ac:dyDescent="0.2">
      <c r="A88">
        <f t="shared" si="40"/>
        <v>84</v>
      </c>
      <c r="B88" s="1">
        <v>39416</v>
      </c>
      <c r="C88">
        <v>-2.8923300379515626E-2</v>
      </c>
      <c r="D88" s="212">
        <v>-4.2900450189455874E-2</v>
      </c>
      <c r="E88" s="129">
        <v>-6.1613975624023487E-2</v>
      </c>
      <c r="F88" s="129">
        <v>-6.2410425942557968E-2</v>
      </c>
      <c r="G88" s="129">
        <v>2.0312953414138857E-3</v>
      </c>
      <c r="H88" s="129">
        <v>-1.2057289283426309E-2</v>
      </c>
      <c r="I88" s="129">
        <v>4.5609591347508527E-3</v>
      </c>
      <c r="J88" s="128">
        <v>1.4962827876921381E-2</v>
      </c>
      <c r="K88" s="128">
        <v>5.5706316171812986E-3</v>
      </c>
      <c r="Z88" s="1">
        <f t="shared" si="30"/>
        <v>39416</v>
      </c>
      <c r="AA88">
        <f t="shared" si="31"/>
        <v>270.15772253868101</v>
      </c>
      <c r="AB88">
        <f t="shared" si="32"/>
        <v>127.8492201380094</v>
      </c>
      <c r="AC88">
        <f t="shared" si="33"/>
        <v>389.81400000000031</v>
      </c>
      <c r="AD88">
        <f t="shared" si="34"/>
        <v>249.66712745838041</v>
      </c>
      <c r="AE88">
        <f t="shared" si="35"/>
        <v>134.66999999999999</v>
      </c>
      <c r="AF88">
        <f t="shared" si="36"/>
        <v>186.9550158029181</v>
      </c>
      <c r="AG88">
        <f t="shared" si="37"/>
        <v>143.01886545073549</v>
      </c>
      <c r="AH88">
        <f t="shared" si="38"/>
        <v>163.33989351824374</v>
      </c>
      <c r="AI88">
        <f t="shared" si="39"/>
        <v>145.29297992264424</v>
      </c>
    </row>
    <row r="89" spans="1:35" x14ac:dyDescent="0.2">
      <c r="A89">
        <f t="shared" si="40"/>
        <v>85</v>
      </c>
      <c r="B89" s="1">
        <v>39447</v>
      </c>
      <c r="C89">
        <v>-2.6353766750346841E-2</v>
      </c>
      <c r="D89" s="212">
        <v>-8.1021766394276939E-3</v>
      </c>
      <c r="E89" s="129">
        <v>6.1926970298655792E-3</v>
      </c>
      <c r="F89" s="129">
        <v>-6.57597065117701E-2</v>
      </c>
      <c r="G89" s="129">
        <v>-4.0023761788074985E-3</v>
      </c>
      <c r="H89" s="129">
        <v>4.6548250387901113E-3</v>
      </c>
      <c r="I89" s="129">
        <v>-1.6122654940904368E-3</v>
      </c>
      <c r="J89" s="128">
        <v>2.9799770157918903E-3</v>
      </c>
      <c r="K89" s="128">
        <v>6.030313962549716E-3</v>
      </c>
      <c r="Z89" s="1">
        <f t="shared" si="30"/>
        <v>39447</v>
      </c>
      <c r="AA89">
        <f t="shared" si="31"/>
        <v>263.03804893309172</v>
      </c>
      <c r="AB89">
        <f t="shared" si="32"/>
        <v>126.81336317323817</v>
      </c>
      <c r="AC89">
        <f t="shared" si="33"/>
        <v>392.22800000000035</v>
      </c>
      <c r="AD89">
        <f t="shared" si="34"/>
        <v>233.24909043108062</v>
      </c>
      <c r="AE89">
        <f t="shared" si="35"/>
        <v>134.13099999999997</v>
      </c>
      <c r="AF89">
        <f t="shared" si="36"/>
        <v>187.82525869160492</v>
      </c>
      <c r="AG89">
        <f t="shared" si="37"/>
        <v>142.78828106896532</v>
      </c>
      <c r="AH89">
        <f t="shared" si="38"/>
        <v>163.82664264669</v>
      </c>
      <c r="AI89">
        <f t="shared" si="39"/>
        <v>146.1691422081322</v>
      </c>
    </row>
    <row r="90" spans="1:35" x14ac:dyDescent="0.2">
      <c r="A90">
        <f t="shared" si="40"/>
        <v>86</v>
      </c>
      <c r="B90" s="1">
        <v>39478</v>
      </c>
      <c r="C90">
        <v>-0.10997007357470401</v>
      </c>
      <c r="D90" s="212">
        <v>-8.4061407042838487E-2</v>
      </c>
      <c r="E90" s="129">
        <v>-0.12436643992779717</v>
      </c>
      <c r="F90" s="129">
        <v>-0.14423828586595688</v>
      </c>
      <c r="G90" s="129">
        <v>-3.7895788445624023E-2</v>
      </c>
      <c r="H90" s="129">
        <v>-1.4798764464524439E-2</v>
      </c>
      <c r="I90" s="129">
        <v>1.2221504946210215E-2</v>
      </c>
      <c r="J90" s="128">
        <v>2.0025428373437126E-2</v>
      </c>
      <c r="K90" s="128">
        <v>5.968799572758865E-3</v>
      </c>
      <c r="Z90" s="1">
        <f t="shared" si="30"/>
        <v>39478</v>
      </c>
      <c r="AA90">
        <f t="shared" si="31"/>
        <v>234.11173533897303</v>
      </c>
      <c r="AB90">
        <f t="shared" si="32"/>
        <v>116.15325343306129</v>
      </c>
      <c r="AC90">
        <f t="shared" si="33"/>
        <v>343.44800000000026</v>
      </c>
      <c r="AD90">
        <f t="shared" si="34"/>
        <v>199.60564144750799</v>
      </c>
      <c r="AE90">
        <f t="shared" si="35"/>
        <v>129.04799999999997</v>
      </c>
      <c r="AF90">
        <f t="shared" si="36"/>
        <v>185.04567692773949</v>
      </c>
      <c r="AG90">
        <f t="shared" si="37"/>
        <v>144.53336875231054</v>
      </c>
      <c r="AH90">
        <f t="shared" si="38"/>
        <v>167.10734134467197</v>
      </c>
      <c r="AI90">
        <f t="shared" si="39"/>
        <v>147.04159652169463</v>
      </c>
    </row>
    <row r="91" spans="1:35" x14ac:dyDescent="0.2">
      <c r="A91">
        <f t="shared" si="40"/>
        <v>87</v>
      </c>
      <c r="B91" s="1">
        <v>39507</v>
      </c>
      <c r="C91">
        <v>-6.6630104647180666E-3</v>
      </c>
      <c r="D91" s="212">
        <v>-1.721744781378387E-2</v>
      </c>
      <c r="E91" s="129">
        <v>6.1130069180778568E-2</v>
      </c>
      <c r="F91" s="129">
        <v>-4.7229574993308265E-2</v>
      </c>
      <c r="G91" s="129">
        <v>-1.9488872357572462E-2</v>
      </c>
      <c r="H91" s="129">
        <v>1.6050538137576176E-2</v>
      </c>
      <c r="I91" s="129">
        <v>-6.1602233914161975E-3</v>
      </c>
      <c r="J91" s="128">
        <v>9.0585863816463608E-3</v>
      </c>
      <c r="K91" s="128">
        <v>5.4136150228933921E-3</v>
      </c>
      <c r="Z91" s="1">
        <f t="shared" si="30"/>
        <v>39507</v>
      </c>
      <c r="AA91">
        <f t="shared" si="31"/>
        <v>232.55184639649616</v>
      </c>
      <c r="AB91">
        <f t="shared" si="32"/>
        <v>114.15339085367636</v>
      </c>
      <c r="AC91">
        <f t="shared" si="33"/>
        <v>364.44300000000032</v>
      </c>
      <c r="AD91">
        <f t="shared" si="34"/>
        <v>190.1783518356755</v>
      </c>
      <c r="AE91">
        <f t="shared" si="35"/>
        <v>126.53299999999996</v>
      </c>
      <c r="AF91">
        <f t="shared" si="36"/>
        <v>188.01575962246179</v>
      </c>
      <c r="AG91">
        <f t="shared" si="37"/>
        <v>143.64301091328238</v>
      </c>
      <c r="AH91">
        <f t="shared" si="38"/>
        <v>168.62109763124994</v>
      </c>
      <c r="AI91">
        <f t="shared" si="39"/>
        <v>147.8376231176147</v>
      </c>
    </row>
    <row r="92" spans="1:35" x14ac:dyDescent="0.2">
      <c r="A92">
        <f t="shared" si="40"/>
        <v>88</v>
      </c>
      <c r="B92" s="1">
        <v>39538</v>
      </c>
      <c r="C92">
        <v>-3.419572572345897E-2</v>
      </c>
      <c r="D92" s="212">
        <v>-2.1286621514660209E-2</v>
      </c>
      <c r="E92" s="129">
        <v>-4.220138677378904E-2</v>
      </c>
      <c r="F92" s="129">
        <v>-6.1539833664059351E-4</v>
      </c>
      <c r="G92" s="129">
        <v>-3.8013798771860952E-3</v>
      </c>
      <c r="H92" s="129">
        <v>-2.1093354211762505E-2</v>
      </c>
      <c r="I92" s="129">
        <v>1.6030971795442772E-2</v>
      </c>
      <c r="J92" s="128">
        <v>4.4903355603354012E-3</v>
      </c>
      <c r="K92" s="128">
        <v>6.6605000168433737E-3</v>
      </c>
      <c r="Z92" s="1">
        <f t="shared" si="30"/>
        <v>39538</v>
      </c>
      <c r="AA92">
        <f t="shared" si="31"/>
        <v>224.59956724063761</v>
      </c>
      <c r="AB92">
        <f t="shared" si="32"/>
        <v>111.72345082795907</v>
      </c>
      <c r="AC92">
        <f t="shared" si="33"/>
        <v>349.06300000000033</v>
      </c>
      <c r="AD92">
        <f t="shared" si="34"/>
        <v>190.06131639429077</v>
      </c>
      <c r="AE92">
        <f t="shared" si="35"/>
        <v>126.05199999999996</v>
      </c>
      <c r="AF92">
        <f t="shared" si="36"/>
        <v>184.04987660735159</v>
      </c>
      <c r="AG92">
        <f t="shared" si="37"/>
        <v>145.94574796984568</v>
      </c>
      <c r="AH92">
        <f t="shared" si="38"/>
        <v>169.37826294216632</v>
      </c>
      <c r="AI92">
        <f t="shared" si="39"/>
        <v>148.82229560887964</v>
      </c>
    </row>
    <row r="93" spans="1:35" x14ac:dyDescent="0.2">
      <c r="A93">
        <f t="shared" si="40"/>
        <v>89</v>
      </c>
      <c r="B93" s="1">
        <v>39568</v>
      </c>
      <c r="C93">
        <v>4.512087648692531E-2</v>
      </c>
      <c r="D93" s="212">
        <v>6.1438405208200653E-2</v>
      </c>
      <c r="E93" s="129">
        <v>7.2422456691199066E-2</v>
      </c>
      <c r="F93" s="129">
        <v>4.2792059150316364E-2</v>
      </c>
      <c r="G93" s="129">
        <v>4.7988131882080509E-2</v>
      </c>
      <c r="H93" s="129">
        <v>5.7163020465771375E-3</v>
      </c>
      <c r="I93" s="129">
        <v>1.5252497181417191E-4</v>
      </c>
      <c r="J93" s="128">
        <v>-6.3538763845240043E-3</v>
      </c>
      <c r="K93" s="128">
        <v>6.5321951524359712E-3</v>
      </c>
      <c r="Z93" s="1">
        <f t="shared" si="30"/>
        <v>39568</v>
      </c>
      <c r="AA93">
        <f t="shared" si="31"/>
        <v>234.73369657311929</v>
      </c>
      <c r="AB93">
        <f t="shared" si="32"/>
        <v>118.58756147118569</v>
      </c>
      <c r="AC93">
        <f t="shared" si="33"/>
        <v>374.34300000000036</v>
      </c>
      <c r="AD93">
        <f t="shared" si="34"/>
        <v>198.19443148762227</v>
      </c>
      <c r="AE93">
        <f t="shared" si="35"/>
        <v>132.10099999999997</v>
      </c>
      <c r="AF93">
        <f t="shared" si="36"/>
        <v>185.10196129367446</v>
      </c>
      <c r="AG93">
        <f t="shared" si="37"/>
        <v>145.9680083409412</v>
      </c>
      <c r="AH93">
        <f t="shared" si="38"/>
        <v>168.30205439720638</v>
      </c>
      <c r="AI93">
        <f t="shared" si="39"/>
        <v>149.79443188683035</v>
      </c>
    </row>
    <row r="94" spans="1:35" x14ac:dyDescent="0.2">
      <c r="A94">
        <f t="shared" si="40"/>
        <v>90</v>
      </c>
      <c r="B94" s="1">
        <v>39598</v>
      </c>
      <c r="C94">
        <v>1.7103447816297912E-2</v>
      </c>
      <c r="D94" s="212">
        <v>1.6000288047398614E-2</v>
      </c>
      <c r="E94" s="129">
        <v>1.8515105130855858E-2</v>
      </c>
      <c r="F94" s="129">
        <v>-8.665066303803648E-2</v>
      </c>
      <c r="G94" s="129">
        <v>3.8493274085737328E-2</v>
      </c>
      <c r="H94" s="129">
        <v>1.9975206418263003E-2</v>
      </c>
      <c r="I94" s="129">
        <v>1.089772153460844E-3</v>
      </c>
      <c r="J94" s="128">
        <v>-6.9592794563617666E-3</v>
      </c>
      <c r="K94" s="128">
        <v>6.5591530652890917E-3</v>
      </c>
      <c r="Z94" s="1">
        <f t="shared" si="30"/>
        <v>39598</v>
      </c>
      <c r="AA94">
        <f t="shared" si="31"/>
        <v>238.74845210318435</v>
      </c>
      <c r="AB94">
        <f t="shared" si="32"/>
        <v>120.48499661356325</v>
      </c>
      <c r="AC94">
        <f t="shared" si="33"/>
        <v>381.27400000000034</v>
      </c>
      <c r="AD94">
        <f t="shared" si="34"/>
        <v>181.02075258877309</v>
      </c>
      <c r="AE94">
        <f t="shared" si="35"/>
        <v>137.18599999999995</v>
      </c>
      <c r="AF94">
        <f t="shared" si="36"/>
        <v>188.79941117894094</v>
      </c>
      <c r="AG94">
        <f t="shared" si="37"/>
        <v>146.1270802117273</v>
      </c>
      <c r="AH94">
        <f t="shared" si="38"/>
        <v>167.13079336757642</v>
      </c>
      <c r="AI94">
        <f t="shared" si="39"/>
        <v>150.77695649390409</v>
      </c>
    </row>
    <row r="95" spans="1:35" x14ac:dyDescent="0.2">
      <c r="A95">
        <f t="shared" si="40"/>
        <v>91</v>
      </c>
      <c r="B95" s="1">
        <v>39629</v>
      </c>
      <c r="C95">
        <v>-7.5661175039507644E-2</v>
      </c>
      <c r="D95" s="212">
        <v>-8.2328213024403851E-2</v>
      </c>
      <c r="E95" s="129">
        <v>-9.8784601100520897E-2</v>
      </c>
      <c r="F95" s="129">
        <v>-0.10255941756033105</v>
      </c>
      <c r="G95" s="129">
        <v>-3.6942545157669038E-2</v>
      </c>
      <c r="H95" s="129">
        <v>-4.586419611529724E-5</v>
      </c>
      <c r="I95" s="129">
        <v>2.8764335111233219E-3</v>
      </c>
      <c r="J95" s="128">
        <v>2.8894748658643277E-3</v>
      </c>
      <c r="K95" s="128">
        <v>6.2893620647965776E-3</v>
      </c>
      <c r="Z95" s="1">
        <f t="shared" si="30"/>
        <v>39629</v>
      </c>
      <c r="AA95">
        <f t="shared" si="31"/>
        <v>220.68446367819382</v>
      </c>
      <c r="AB95">
        <f t="shared" si="32"/>
        <v>110.56568214611724</v>
      </c>
      <c r="AC95">
        <f t="shared" si="33"/>
        <v>343.6100000000003</v>
      </c>
      <c r="AD95">
        <f t="shared" si="34"/>
        <v>162.45536963693573</v>
      </c>
      <c r="AE95">
        <f t="shared" si="35"/>
        <v>132.11799999999997</v>
      </c>
      <c r="AF95">
        <f t="shared" si="36"/>
        <v>188.79075204572018</v>
      </c>
      <c r="AG95">
        <f t="shared" si="37"/>
        <v>146.54740504213092</v>
      </c>
      <c r="AH95">
        <f t="shared" si="38"/>
        <v>167.613713594324</v>
      </c>
      <c r="AI95">
        <f t="shared" si="39"/>
        <v>151.72524736432234</v>
      </c>
    </row>
    <row r="96" spans="1:35" x14ac:dyDescent="0.2">
      <c r="A96">
        <f t="shared" si="40"/>
        <v>92</v>
      </c>
      <c r="B96" s="1">
        <v>39660</v>
      </c>
      <c r="C96">
        <v>-4.694673734882826E-2</v>
      </c>
      <c r="D96" s="212">
        <v>-1.8188315089532336E-2</v>
      </c>
      <c r="E96" s="129">
        <v>-5.0976397660137951E-2</v>
      </c>
      <c r="F96" s="129">
        <v>-5.2136189939234412E-2</v>
      </c>
      <c r="G96" s="129">
        <v>2.7399748709486804E-3</v>
      </c>
      <c r="H96" s="129">
        <v>-2.6074991400068859E-2</v>
      </c>
      <c r="I96" s="129">
        <v>1.7875043128749102E-2</v>
      </c>
      <c r="J96" s="128">
        <v>1.6538771025397914E-2</v>
      </c>
      <c r="K96" s="128">
        <v>6.6784405052349172E-3</v>
      </c>
      <c r="Z96" s="1">
        <f t="shared" si="30"/>
        <v>39660</v>
      </c>
      <c r="AA96">
        <f t="shared" si="31"/>
        <v>210.32404812492663</v>
      </c>
      <c r="AB96">
        <f t="shared" si="32"/>
        <v>108.55467868115458</v>
      </c>
      <c r="AC96">
        <f t="shared" si="33"/>
        <v>326.09400000000028</v>
      </c>
      <c r="AD96">
        <f t="shared" si="34"/>
        <v>153.9855656288959</v>
      </c>
      <c r="AE96">
        <f t="shared" si="35"/>
        <v>132.47999999999996</v>
      </c>
      <c r="AF96">
        <f t="shared" si="36"/>
        <v>183.86803480971551</v>
      </c>
      <c r="AG96">
        <f t="shared" si="37"/>
        <v>149.16694622766528</v>
      </c>
      <c r="AH96">
        <f t="shared" si="38"/>
        <v>170.38583842417714</v>
      </c>
      <c r="AI96">
        <f t="shared" si="39"/>
        <v>152.73853540198701</v>
      </c>
    </row>
    <row r="97" spans="1:35" x14ac:dyDescent="0.2">
      <c r="A97">
        <f t="shared" si="40"/>
        <v>93</v>
      </c>
      <c r="B97" s="1">
        <v>39689</v>
      </c>
      <c r="C97">
        <v>4.0381012467594513E-2</v>
      </c>
      <c r="D97" s="212">
        <v>1.1558676127848111E-2</v>
      </c>
      <c r="E97" s="129">
        <v>-4.8369488552380546E-2</v>
      </c>
      <c r="F97" s="129">
        <v>0.10251199268597611</v>
      </c>
      <c r="G97" s="129">
        <v>2.5158514492753747E-2</v>
      </c>
      <c r="H97" s="129">
        <v>-1.4716963360647983E-2</v>
      </c>
      <c r="I97" s="129">
        <v>2.1625157065421563E-2</v>
      </c>
      <c r="J97" s="128">
        <v>1.6069690005095616E-2</v>
      </c>
      <c r="K97" s="128">
        <v>6.6788475083929821E-3</v>
      </c>
      <c r="Z97" s="1">
        <f t="shared" si="30"/>
        <v>39689</v>
      </c>
      <c r="AA97">
        <f t="shared" si="31"/>
        <v>218.81714613449424</v>
      </c>
      <c r="AB97">
        <f t="shared" si="32"/>
        <v>109.80942705419267</v>
      </c>
      <c r="AC97">
        <f t="shared" si="33"/>
        <v>310.32100000000031</v>
      </c>
      <c r="AD97">
        <f t="shared" si="34"/>
        <v>169.77093280639116</v>
      </c>
      <c r="AE97">
        <f t="shared" si="35"/>
        <v>135.81299999999999</v>
      </c>
      <c r="AF97">
        <f t="shared" si="36"/>
        <v>181.16205567822658</v>
      </c>
      <c r="AG97">
        <f t="shared" si="37"/>
        <v>152.39270486880784</v>
      </c>
      <c r="AH97">
        <f t="shared" si="38"/>
        <v>173.12388602891198</v>
      </c>
      <c r="AI97">
        <f t="shared" si="39"/>
        <v>153.75865278859217</v>
      </c>
    </row>
    <row r="98" spans="1:35" x14ac:dyDescent="0.2">
      <c r="A98">
        <f t="shared" si="40"/>
        <v>94</v>
      </c>
      <c r="B98" s="1">
        <v>39721</v>
      </c>
      <c r="C98">
        <v>-9.9392714419703987E-2</v>
      </c>
      <c r="D98" s="212">
        <v>-0.107826411866215</v>
      </c>
      <c r="E98" s="129">
        <v>-0.12380728342587199</v>
      </c>
      <c r="F98" s="129">
        <v>-6.0210208710073876E-2</v>
      </c>
      <c r="G98" s="129">
        <v>-8.671482111432649E-2</v>
      </c>
      <c r="H98" s="129">
        <v>-6.5506775326816924E-2</v>
      </c>
      <c r="I98" s="129">
        <v>1.2849884123985467E-2</v>
      </c>
      <c r="J98" s="128">
        <v>6.2280182306657661E-3</v>
      </c>
      <c r="K98" s="128">
        <v>5.861301489893167E-3</v>
      </c>
      <c r="Z98" s="1">
        <f t="shared" si="30"/>
        <v>39721</v>
      </c>
      <c r="AA98">
        <f t="shared" si="31"/>
        <v>197.06831601861381</v>
      </c>
      <c r="AB98">
        <f t="shared" si="32"/>
        <v>97.969070545854194</v>
      </c>
      <c r="AC98">
        <f t="shared" si="33"/>
        <v>271.90100000000024</v>
      </c>
      <c r="AD98">
        <f t="shared" si="34"/>
        <v>159.54898950921441</v>
      </c>
      <c r="AE98">
        <f t="shared" si="35"/>
        <v>124.03599999999996</v>
      </c>
      <c r="AF98">
        <f t="shared" si="36"/>
        <v>169.29471359916869</v>
      </c>
      <c r="AG98">
        <f t="shared" si="37"/>
        <v>154.35093346771274</v>
      </c>
      <c r="AH98">
        <f t="shared" si="38"/>
        <v>174.20210474726375</v>
      </c>
      <c r="AI98">
        <f t="shared" si="39"/>
        <v>154.65987860926592</v>
      </c>
    </row>
    <row r="99" spans="1:35" x14ac:dyDescent="0.2">
      <c r="A99">
        <f t="shared" si="40"/>
        <v>95</v>
      </c>
      <c r="B99" s="1">
        <v>39752</v>
      </c>
      <c r="C99">
        <v>-0.12883528712192815</v>
      </c>
      <c r="D99" s="212">
        <v>-0.16369086831259438</v>
      </c>
      <c r="E99" s="129">
        <v>-0.22314739555941321</v>
      </c>
      <c r="F99" s="129">
        <v>-0.24047329226222425</v>
      </c>
      <c r="G99" s="129">
        <v>-9.2416717727111353E-2</v>
      </c>
      <c r="H99" s="129">
        <v>-6.2989105416602742E-2</v>
      </c>
      <c r="I99" s="129">
        <v>2.0080079521849648E-2</v>
      </c>
      <c r="J99" s="128">
        <v>8.9803364535281371E-3</v>
      </c>
      <c r="K99" s="128">
        <v>7.1439932088852576E-3</v>
      </c>
      <c r="Z99" s="1">
        <f t="shared" si="30"/>
        <v>39752</v>
      </c>
      <c r="AA99">
        <f t="shared" si="31"/>
        <v>171.67896294172084</v>
      </c>
      <c r="AB99">
        <f t="shared" si="32"/>
        <v>81.932428320425501</v>
      </c>
      <c r="AC99">
        <f t="shared" si="33"/>
        <v>211.22700000000017</v>
      </c>
      <c r="AD99">
        <f t="shared" si="34"/>
        <v>121.18171872482255</v>
      </c>
      <c r="AE99">
        <f t="shared" si="35"/>
        <v>112.57299999999998</v>
      </c>
      <c r="AF99">
        <f t="shared" si="36"/>
        <v>158.63099103779709</v>
      </c>
      <c r="AG99">
        <f t="shared" si="37"/>
        <v>157.45031248601614</v>
      </c>
      <c r="AH99">
        <f t="shared" si="38"/>
        <v>175.76649825880693</v>
      </c>
      <c r="AI99">
        <f t="shared" si="39"/>
        <v>155.76476773173752</v>
      </c>
    </row>
    <row r="100" spans="1:35" x14ac:dyDescent="0.2">
      <c r="A100">
        <f t="shared" si="40"/>
        <v>96</v>
      </c>
      <c r="B100" s="1">
        <v>39780</v>
      </c>
      <c r="C100">
        <v>-6.2952638414297768E-2</v>
      </c>
      <c r="D100" s="212">
        <v>-6.0735375337095943E-2</v>
      </c>
      <c r="E100" s="129">
        <v>-3.9952278827990684E-2</v>
      </c>
      <c r="F100" s="129">
        <v>-2.3262812392836452E-2</v>
      </c>
      <c r="G100" s="129">
        <v>-2.8390466630542011E-2</v>
      </c>
      <c r="H100" s="129">
        <v>-4.1458555091569038E-2</v>
      </c>
      <c r="I100" s="129">
        <v>2.9602064260872529E-2</v>
      </c>
      <c r="J100" s="128">
        <v>3.2206590974443117E-2</v>
      </c>
      <c r="K100" s="128">
        <v>5.4467398669433287E-3</v>
      </c>
      <c r="Z100" s="1">
        <f t="shared" si="30"/>
        <v>39780</v>
      </c>
      <c r="AA100">
        <f t="shared" si="31"/>
        <v>160.87131926430905</v>
      </c>
      <c r="AB100">
        <f t="shared" si="32"/>
        <v>76.956231534104745</v>
      </c>
      <c r="AC100">
        <f t="shared" si="33"/>
        <v>202.78800000000018</v>
      </c>
      <c r="AD100">
        <f t="shared" si="34"/>
        <v>118.36269113668553</v>
      </c>
      <c r="AE100">
        <f t="shared" si="35"/>
        <v>109.37699999999997</v>
      </c>
      <c r="AF100">
        <f t="shared" si="36"/>
        <v>152.05437935662638</v>
      </c>
      <c r="AG100">
        <f t="shared" si="37"/>
        <v>162.11116675412165</v>
      </c>
      <c r="AH100">
        <f t="shared" si="38"/>
        <v>181.42733797523849</v>
      </c>
      <c r="AI100">
        <f t="shared" si="39"/>
        <v>156.61317790200715</v>
      </c>
    </row>
    <row r="101" spans="1:35" x14ac:dyDescent="0.2">
      <c r="A101">
        <f t="shared" si="40"/>
        <v>97</v>
      </c>
      <c r="B101" s="1">
        <v>39813</v>
      </c>
      <c r="C101">
        <v>-1.370571722468017E-3</v>
      </c>
      <c r="D101" s="212">
        <v>1.0230776000724529E-2</v>
      </c>
      <c r="E101" s="129">
        <v>4.596918949839246E-2</v>
      </c>
      <c r="F101" s="129">
        <v>-0.11701357790276945</v>
      </c>
      <c r="G101" s="129">
        <v>-5.3576163178729042E-3</v>
      </c>
      <c r="H101" s="129">
        <v>-3.416856492027831E-4</v>
      </c>
      <c r="I101" s="129">
        <v>1.2479883986888707E-2</v>
      </c>
      <c r="J101" s="128">
        <v>2.3904342531653855E-2</v>
      </c>
      <c r="K101" s="128">
        <v>4.2569735658621877E-3</v>
      </c>
      <c r="Z101" s="1">
        <f t="shared" ref="Z101:Z132" si="41">B101</f>
        <v>39813</v>
      </c>
      <c r="AA101">
        <f t="shared" si="31"/>
        <v>160.65083358316926</v>
      </c>
      <c r="AB101">
        <f t="shared" si="32"/>
        <v>77.743553500790071</v>
      </c>
      <c r="AC101">
        <f t="shared" si="33"/>
        <v>212.11000000000021</v>
      </c>
      <c r="AD101">
        <f t="shared" si="34"/>
        <v>104.51264915658153</v>
      </c>
      <c r="AE101">
        <f t="shared" si="35"/>
        <v>108.79099999999998</v>
      </c>
      <c r="AF101">
        <f t="shared" si="36"/>
        <v>152.00242455730179</v>
      </c>
      <c r="AG101">
        <f t="shared" si="37"/>
        <v>164.13429530819226</v>
      </c>
      <c r="AH101">
        <f t="shared" si="38"/>
        <v>185.76423920680472</v>
      </c>
      <c r="AI101">
        <f t="shared" si="39"/>
        <v>157.27987606040168</v>
      </c>
    </row>
    <row r="102" spans="1:35" x14ac:dyDescent="0.2">
      <c r="A102">
        <f t="shared" si="40"/>
        <v>98</v>
      </c>
      <c r="B102" s="1">
        <v>39843</v>
      </c>
      <c r="C102">
        <v>-4.8398128952952035E-2</v>
      </c>
      <c r="D102" s="212">
        <v>-7.092552283505138E-2</v>
      </c>
      <c r="E102" s="129">
        <v>-2.9583706567347101E-2</v>
      </c>
      <c r="F102" s="129">
        <v>-9.7229660645601013E-2</v>
      </c>
      <c r="G102" s="129">
        <v>-4.3588164462133872E-2</v>
      </c>
      <c r="H102" s="129">
        <v>1.0937678022103325E-2</v>
      </c>
      <c r="I102" s="129">
        <v>1.4067100173757119E-2</v>
      </c>
      <c r="J102" s="128">
        <v>-1.2652442244955653E-2</v>
      </c>
      <c r="K102" s="128">
        <v>4.0056948511981716E-3</v>
      </c>
      <c r="Z102" s="1">
        <f t="shared" si="41"/>
        <v>39843</v>
      </c>
      <c r="AA102">
        <f t="shared" ref="AA102:AA133" si="42">IF($Z102&lt;$B$1,100,AA101*(1+C102))</f>
        <v>152.87563382301178</v>
      </c>
      <c r="AB102">
        <f t="shared" ref="AB102:AB133" si="43">IF($Z102&lt;$B$1,100,AB101*(1+D102))</f>
        <v>72.229551321691744</v>
      </c>
      <c r="AC102">
        <f t="shared" ref="AC102:AC133" si="44">IF($Z102&lt;$B$1,100,AC101*(1+E102))</f>
        <v>205.83500000000021</v>
      </c>
      <c r="AD102">
        <f t="shared" ref="AD102:AD133" si="45">IF($Z102&lt;$B$1,100,AD101*(1+F102))</f>
        <v>94.350919745914354</v>
      </c>
      <c r="AE102">
        <f t="shared" ref="AE102:AE133" si="46">IF($Z102&lt;$B$1,100,AE101*(1+G102))</f>
        <v>104.04899999999998</v>
      </c>
      <c r="AF102">
        <f t="shared" ref="AF102:AF133" si="47">IF($Z102&lt;$B$1,100,AF101*(1+H102))</f>
        <v>153.66497813568861</v>
      </c>
      <c r="AG102">
        <f t="shared" ref="AG102:AG133" si="48">IF($Z102&lt;$B$1,100,AG101*(1+I102))</f>
        <v>166.44318888224163</v>
      </c>
      <c r="AH102">
        <f t="shared" ref="AH102:AH133" si="49">IF($Z102&lt;$B$1,100,AH101*(1+J102))</f>
        <v>183.4138678990625</v>
      </c>
      <c r="AI102">
        <f t="shared" ref="AI102:AI133" si="50">IF($Z102&lt;$B$1,100,AI101*(1+K102))</f>
        <v>157.90989125013391</v>
      </c>
    </row>
    <row r="103" spans="1:35" x14ac:dyDescent="0.2">
      <c r="A103">
        <f t="shared" si="40"/>
        <v>99</v>
      </c>
      <c r="B103" s="1">
        <v>39871</v>
      </c>
      <c r="C103">
        <v>-4.5598798106437743E-2</v>
      </c>
      <c r="D103" s="212">
        <v>-8.9575635351082372E-2</v>
      </c>
      <c r="E103" s="129">
        <v>-2.8479121626545534E-2</v>
      </c>
      <c r="F103" s="129">
        <v>-0.15492755186423612</v>
      </c>
      <c r="G103" s="129">
        <v>-7.8030543301713662E-2</v>
      </c>
      <c r="H103" s="129">
        <v>-8.8470641271273243E-3</v>
      </c>
      <c r="I103" s="129">
        <v>-1.228059149729066E-2</v>
      </c>
      <c r="J103" s="128">
        <v>4.6083213863166161E-3</v>
      </c>
      <c r="K103" s="128">
        <v>2.9100922396489981E-3</v>
      </c>
      <c r="Z103" s="1">
        <f t="shared" si="41"/>
        <v>39871</v>
      </c>
      <c r="AA103">
        <f t="shared" si="42"/>
        <v>145.90468866092257</v>
      </c>
      <c r="AB103">
        <f t="shared" si="43"/>
        <v>65.759543370927588</v>
      </c>
      <c r="AC103">
        <f t="shared" si="44"/>
        <v>199.97300000000021</v>
      </c>
      <c r="AD103">
        <f t="shared" si="45"/>
        <v>79.733362733540829</v>
      </c>
      <c r="AE103">
        <f t="shared" si="46"/>
        <v>95.929999999999978</v>
      </c>
      <c r="AF103">
        <f t="shared" si="47"/>
        <v>152.30549422002855</v>
      </c>
      <c r="AG103">
        <f t="shared" si="48"/>
        <v>164.39916807207243</v>
      </c>
      <c r="AH103">
        <f t="shared" si="49"/>
        <v>184.25909794904879</v>
      </c>
      <c r="AI103">
        <f t="shared" si="50"/>
        <v>158.36942359922475</v>
      </c>
    </row>
    <row r="104" spans="1:35" x14ac:dyDescent="0.2">
      <c r="A104">
        <f t="shared" si="40"/>
        <v>100</v>
      </c>
      <c r="B104" s="1">
        <v>39903</v>
      </c>
      <c r="C104">
        <v>8.0697770197893925E-2</v>
      </c>
      <c r="D104" s="212">
        <v>6.3599867749054573E-2</v>
      </c>
      <c r="E104" s="129">
        <v>0.10460912223150109</v>
      </c>
      <c r="F104" s="129">
        <v>-6.1372532334921237E-3</v>
      </c>
      <c r="G104" s="129">
        <v>-3.4921296778900324E-3</v>
      </c>
      <c r="H104" s="129">
        <v>6.538177269884704E-3</v>
      </c>
      <c r="I104" s="129">
        <v>1.1525844643474059E-3</v>
      </c>
      <c r="J104" s="128">
        <v>1.140925197760545E-2</v>
      </c>
      <c r="K104" s="128">
        <v>2.629034177033196E-3</v>
      </c>
      <c r="Z104" s="1">
        <f t="shared" si="41"/>
        <v>39903</v>
      </c>
      <c r="AA104">
        <f t="shared" si="42"/>
        <v>157.67887169727697</v>
      </c>
      <c r="AB104">
        <f t="shared" si="43"/>
        <v>69.941841632556802</v>
      </c>
      <c r="AC104">
        <f t="shared" si="44"/>
        <v>220.89200000000019</v>
      </c>
      <c r="AD104">
        <f t="shared" si="45"/>
        <v>79.244018895287212</v>
      </c>
      <c r="AE104">
        <f t="shared" si="46"/>
        <v>95.594999999999985</v>
      </c>
      <c r="AF104">
        <f t="shared" si="47"/>
        <v>153.30129454041651</v>
      </c>
      <c r="AG104">
        <f t="shared" si="48"/>
        <v>164.58865199914393</v>
      </c>
      <c r="AH104">
        <f t="shared" si="49"/>
        <v>186.36135642671579</v>
      </c>
      <c r="AI104">
        <f t="shared" si="50"/>
        <v>158.78578222646416</v>
      </c>
    </row>
    <row r="105" spans="1:35" x14ac:dyDescent="0.2">
      <c r="A105">
        <f t="shared" si="40"/>
        <v>101</v>
      </c>
      <c r="B105" s="1">
        <v>39933</v>
      </c>
      <c r="C105">
        <v>5.7047612355486832E-2</v>
      </c>
      <c r="D105" s="212">
        <v>0.10332378307942003</v>
      </c>
      <c r="E105" s="129">
        <v>0.12191478188435978</v>
      </c>
      <c r="F105" s="129">
        <v>5.6528858399597759E-2</v>
      </c>
      <c r="G105" s="129">
        <v>2.512683717767672E-2</v>
      </c>
      <c r="H105" s="129">
        <v>1.6832354270221561E-2</v>
      </c>
      <c r="I105" s="129">
        <v>3.5327397522433301E-5</v>
      </c>
      <c r="J105" s="128">
        <v>-7.2782708431029519E-4</v>
      </c>
      <c r="K105" s="128">
        <v>2.6433010907342958E-3</v>
      </c>
      <c r="Z105" s="1">
        <f t="shared" si="41"/>
        <v>39933</v>
      </c>
      <c r="AA105">
        <f t="shared" si="42"/>
        <v>166.67407484651378</v>
      </c>
      <c r="AB105">
        <f t="shared" si="43"/>
        <v>77.168497305574249</v>
      </c>
      <c r="AC105">
        <f t="shared" si="44"/>
        <v>247.82200000000023</v>
      </c>
      <c r="AD105">
        <f t="shared" si="45"/>
        <v>83.723592818433957</v>
      </c>
      <c r="AE105">
        <f t="shared" si="46"/>
        <v>97.996999999999986</v>
      </c>
      <c r="AF105">
        <f t="shared" si="47"/>
        <v>155.88171624020438</v>
      </c>
      <c r="AG105">
        <f t="shared" si="48"/>
        <v>164.59446648788079</v>
      </c>
      <c r="AH105">
        <f t="shared" si="49"/>
        <v>186.22571758403961</v>
      </c>
      <c r="AI105">
        <f t="shared" si="50"/>
        <v>159.20550085781647</v>
      </c>
    </row>
    <row r="106" spans="1:35" x14ac:dyDescent="0.2">
      <c r="A106">
        <f t="shared" si="40"/>
        <v>102</v>
      </c>
      <c r="B106" s="1">
        <v>39962</v>
      </c>
      <c r="C106">
        <v>1.4571350700550267E-2</v>
      </c>
      <c r="D106" s="212">
        <v>5.6237872367218555E-2</v>
      </c>
      <c r="E106" s="129">
        <v>0.12473065345288159</v>
      </c>
      <c r="F106" s="129">
        <v>1.5477963148671448E-2</v>
      </c>
      <c r="G106" s="129">
        <v>2.5459963060093571E-2</v>
      </c>
      <c r="H106" s="129">
        <v>4.0606599266748145E-2</v>
      </c>
      <c r="I106" s="129">
        <v>-7.1947591232811581E-3</v>
      </c>
      <c r="J106" s="128">
        <v>-5.8258295921714831E-3</v>
      </c>
      <c r="K106" s="128">
        <v>2.5143691672036006E-3</v>
      </c>
      <c r="Z106" s="1">
        <f t="shared" si="41"/>
        <v>39962</v>
      </c>
      <c r="AA106">
        <f t="shared" si="42"/>
        <v>169.10274124379208</v>
      </c>
      <c r="AB106">
        <f t="shared" si="43"/>
        <v>81.508289407815184</v>
      </c>
      <c r="AC106">
        <f t="shared" si="44"/>
        <v>278.73300000000029</v>
      </c>
      <c r="AD106">
        <f t="shared" si="45"/>
        <v>85.019463502752046</v>
      </c>
      <c r="AE106">
        <f t="shared" si="46"/>
        <v>100.49199999999998</v>
      </c>
      <c r="AF106">
        <f t="shared" si="47"/>
        <v>162.2115426245833</v>
      </c>
      <c r="AG106">
        <f t="shared" si="48"/>
        <v>163.41024894847553</v>
      </c>
      <c r="AH106">
        <f t="shared" si="49"/>
        <v>185.14079828771514</v>
      </c>
      <c r="AI106">
        <f t="shared" si="50"/>
        <v>159.60580226042256</v>
      </c>
    </row>
    <row r="107" spans="1:35" x14ac:dyDescent="0.2">
      <c r="A107">
        <f t="shared" si="40"/>
        <v>103</v>
      </c>
      <c r="B107" s="1">
        <v>39994</v>
      </c>
      <c r="C107">
        <v>3.9599385033055157E-2</v>
      </c>
      <c r="D107" s="212">
        <v>-6.804097391320818E-4</v>
      </c>
      <c r="E107" s="129">
        <v>-1.3586478816645209E-2</v>
      </c>
      <c r="F107" s="129">
        <v>3.8284671168789641E-2</v>
      </c>
      <c r="G107" s="129">
        <v>3.8142339688731486E-2</v>
      </c>
      <c r="H107" s="129">
        <v>4.2972294880689876E-3</v>
      </c>
      <c r="I107" s="129">
        <v>-6.1424566442784823E-3</v>
      </c>
      <c r="J107" s="128">
        <v>9.5267147155841947E-3</v>
      </c>
      <c r="K107" s="128">
        <v>2.6748595414813892E-3</v>
      </c>
      <c r="Z107" s="1">
        <f t="shared" si="41"/>
        <v>39994</v>
      </c>
      <c r="AA107">
        <f t="shared" si="42"/>
        <v>175.79910580445011</v>
      </c>
      <c r="AB107">
        <f t="shared" si="43"/>
        <v>81.452830373882108</v>
      </c>
      <c r="AC107">
        <f t="shared" si="44"/>
        <v>274.94600000000031</v>
      </c>
      <c r="AD107">
        <f t="shared" si="45"/>
        <v>88.274405705901827</v>
      </c>
      <c r="AE107">
        <f t="shared" si="46"/>
        <v>104.32499999999997</v>
      </c>
      <c r="AF107">
        <f t="shared" si="47"/>
        <v>162.90860284885483</v>
      </c>
      <c r="AG107">
        <f t="shared" si="48"/>
        <v>162.40650857907877</v>
      </c>
      <c r="AH107">
        <f t="shared" si="49"/>
        <v>186.90458185521771</v>
      </c>
      <c r="AI107">
        <f t="shared" si="50"/>
        <v>160.03272536347464</v>
      </c>
    </row>
    <row r="108" spans="1:35" x14ac:dyDescent="0.2">
      <c r="A108">
        <f t="shared" si="40"/>
        <v>104</v>
      </c>
      <c r="B108" s="1">
        <v>40025</v>
      </c>
      <c r="C108">
        <v>7.339224040134118E-2</v>
      </c>
      <c r="D108" s="212">
        <v>7.4171172680241426E-2</v>
      </c>
      <c r="E108" s="129">
        <v>9.8452059677172743E-2</v>
      </c>
      <c r="F108" s="129">
        <v>2.4018369248801408E-2</v>
      </c>
      <c r="G108" s="129">
        <v>3.76419841840403E-2</v>
      </c>
      <c r="H108" s="129">
        <v>2.5380710659898442E-2</v>
      </c>
      <c r="I108" s="129">
        <v>3.1363663885279891E-3</v>
      </c>
      <c r="J108" s="128">
        <v>8.787923173915857E-3</v>
      </c>
      <c r="K108" s="128">
        <v>2.6510181685621692E-3</v>
      </c>
      <c r="Z108" s="1">
        <f t="shared" si="41"/>
        <v>40025</v>
      </c>
      <c r="AA108">
        <f t="shared" si="42"/>
        <v>188.70139603999112</v>
      </c>
      <c r="AB108">
        <f t="shared" si="43"/>
        <v>87.494282320837726</v>
      </c>
      <c r="AC108">
        <f t="shared" si="44"/>
        <v>302.01500000000027</v>
      </c>
      <c r="AD108">
        <f t="shared" si="45"/>
        <v>90.394612977364673</v>
      </c>
      <c r="AE108">
        <f t="shared" si="46"/>
        <v>108.25199999999998</v>
      </c>
      <c r="AF108">
        <f t="shared" si="47"/>
        <v>167.0433389617699</v>
      </c>
      <c r="AG108">
        <f t="shared" si="48"/>
        <v>162.91587489386438</v>
      </c>
      <c r="AH108">
        <f t="shared" si="49"/>
        <v>188.54708496141424</v>
      </c>
      <c r="AI108">
        <f t="shared" si="50"/>
        <v>160.45697502597773</v>
      </c>
    </row>
    <row r="109" spans="1:35" x14ac:dyDescent="0.2">
      <c r="A109">
        <f t="shared" si="40"/>
        <v>105</v>
      </c>
      <c r="B109" s="1">
        <v>40056</v>
      </c>
      <c r="C109">
        <v>6.6386421401979367E-2</v>
      </c>
      <c r="D109" s="212">
        <v>3.7225470359801838E-2</v>
      </c>
      <c r="E109" s="129">
        <v>4.8010860387748266E-4</v>
      </c>
      <c r="F109" s="129">
        <v>0.14950228451875014</v>
      </c>
      <c r="G109" s="129">
        <v>2.5108081143997429E-2</v>
      </c>
      <c r="H109" s="129">
        <v>1.5266186304494278E-2</v>
      </c>
      <c r="I109" s="129">
        <v>7.1646186247193988E-3</v>
      </c>
      <c r="J109" s="128">
        <v>1.0707586084351961E-2</v>
      </c>
      <c r="K109" s="128">
        <v>2.5303008608130728E-3</v>
      </c>
      <c r="Z109" s="1">
        <f t="shared" si="41"/>
        <v>40056</v>
      </c>
      <c r="AA109">
        <f t="shared" si="42"/>
        <v>201.22860643664379</v>
      </c>
      <c r="AB109">
        <f t="shared" si="43"/>
        <v>90.751298134024211</v>
      </c>
      <c r="AC109">
        <f t="shared" si="44"/>
        <v>302.16000000000031</v>
      </c>
      <c r="AD109">
        <f t="shared" si="45"/>
        <v>103.90881412566895</v>
      </c>
      <c r="AE109">
        <f t="shared" si="46"/>
        <v>110.96999999999998</v>
      </c>
      <c r="AF109">
        <f t="shared" si="47"/>
        <v>169.59345369528506</v>
      </c>
      <c r="AG109">
        <f t="shared" si="48"/>
        <v>164.08310500539142</v>
      </c>
      <c r="AH109">
        <f t="shared" si="49"/>
        <v>190.5659691045922</v>
      </c>
      <c r="AI109">
        <f t="shared" si="50"/>
        <v>160.86297944800941</v>
      </c>
    </row>
    <row r="110" spans="1:35" x14ac:dyDescent="0.2">
      <c r="A110">
        <f t="shared" si="40"/>
        <v>106</v>
      </c>
      <c r="B110" s="1">
        <v>40086</v>
      </c>
      <c r="C110">
        <v>6.2647468154975572E-2</v>
      </c>
      <c r="D110" s="212">
        <v>3.0743163949480179E-2</v>
      </c>
      <c r="E110" s="129">
        <v>6.2993116229812074E-2</v>
      </c>
      <c r="F110" s="129">
        <v>9.4187166386444865E-2</v>
      </c>
      <c r="G110" s="129">
        <v>1.7374065062629507E-2</v>
      </c>
      <c r="H110" s="129">
        <v>3.0405146664624461E-2</v>
      </c>
      <c r="I110" s="129">
        <v>7.2354206785760766E-3</v>
      </c>
      <c r="J110" s="128">
        <v>7.3678330895470268E-3</v>
      </c>
      <c r="K110" s="128">
        <v>2.8294494828740024E-3</v>
      </c>
      <c r="Z110" s="1">
        <f t="shared" si="41"/>
        <v>40086</v>
      </c>
      <c r="AA110">
        <f t="shared" si="42"/>
        <v>213.83506915025353</v>
      </c>
      <c r="AB110">
        <f t="shared" si="43"/>
        <v>93.541280171186671</v>
      </c>
      <c r="AC110">
        <f t="shared" si="44"/>
        <v>321.19400000000036</v>
      </c>
      <c r="AD110">
        <f t="shared" si="45"/>
        <v>113.6956908907415</v>
      </c>
      <c r="AE110">
        <f t="shared" si="46"/>
        <v>112.89799999999998</v>
      </c>
      <c r="AF110">
        <f t="shared" si="47"/>
        <v>174.74996752825041</v>
      </c>
      <c r="AG110">
        <f t="shared" si="48"/>
        <v>165.27031529635241</v>
      </c>
      <c r="AH110">
        <f t="shared" si="49"/>
        <v>191.9700273575026</v>
      </c>
      <c r="AI110">
        <f t="shared" si="50"/>
        <v>161.31813312202215</v>
      </c>
    </row>
    <row r="111" spans="1:35" x14ac:dyDescent="0.2">
      <c r="A111">
        <f t="shared" si="40"/>
        <v>107</v>
      </c>
      <c r="B111" s="1">
        <v>40116</v>
      </c>
      <c r="C111">
        <v>-2.0710420770525206E-2</v>
      </c>
      <c r="D111" s="212">
        <v>-2.2447704309839667E-2</v>
      </c>
      <c r="E111" s="129">
        <v>-3.9259762012989752E-3</v>
      </c>
      <c r="F111" s="129">
        <v>-9.1577031522728336E-2</v>
      </c>
      <c r="G111" s="129">
        <v>-2.5651473011036541E-2</v>
      </c>
      <c r="H111" s="129">
        <v>1.2635647391110449E-3</v>
      </c>
      <c r="I111" s="129">
        <v>-7.545092490761629E-4</v>
      </c>
      <c r="J111" s="128">
        <v>1.3283576433420485E-3</v>
      </c>
      <c r="K111" s="128">
        <v>2.5577725303260745E-3</v>
      </c>
      <c r="Z111" s="1">
        <f t="shared" si="41"/>
        <v>40116</v>
      </c>
      <c r="AA111">
        <f t="shared" si="42"/>
        <v>209.40645489265742</v>
      </c>
      <c r="AB111">
        <f t="shared" si="43"/>
        <v>91.441493173140003</v>
      </c>
      <c r="AC111">
        <f t="shared" si="44"/>
        <v>319.93300000000033</v>
      </c>
      <c r="AD111">
        <f t="shared" si="45"/>
        <v>103.28377702204169</v>
      </c>
      <c r="AE111">
        <f t="shared" si="46"/>
        <v>110.00199999999998</v>
      </c>
      <c r="AF111">
        <f t="shared" si="47"/>
        <v>174.97077542537991</v>
      </c>
      <c r="AG111">
        <f t="shared" si="48"/>
        <v>165.14561731486359</v>
      </c>
      <c r="AH111">
        <f t="shared" si="49"/>
        <v>192.22503221063553</v>
      </c>
      <c r="AI111">
        <f t="shared" si="50"/>
        <v>161.73074821156513</v>
      </c>
    </row>
    <row r="112" spans="1:35" x14ac:dyDescent="0.2">
      <c r="A112">
        <f t="shared" si="40"/>
        <v>108</v>
      </c>
      <c r="B112" s="1">
        <v>40147</v>
      </c>
      <c r="C112">
        <v>1.8017389940326867E-2</v>
      </c>
      <c r="D112" s="212">
        <v>3.0924930105192594E-2</v>
      </c>
      <c r="E112" s="129">
        <v>3.2816245901485797E-2</v>
      </c>
      <c r="F112" s="129">
        <v>1.2546701153672624E-2</v>
      </c>
      <c r="G112" s="129">
        <v>6.0953437210232497E-2</v>
      </c>
      <c r="H112" s="129">
        <v>2.1057580481528282E-2</v>
      </c>
      <c r="I112" s="129">
        <v>1.4982147344469343E-2</v>
      </c>
      <c r="J112" s="128">
        <v>1.198168660875587E-2</v>
      </c>
      <c r="K112" s="128">
        <v>3.035439788187988E-3</v>
      </c>
      <c r="Z112" s="1">
        <f t="shared" si="41"/>
        <v>40147</v>
      </c>
      <c r="AA112">
        <f t="shared" si="42"/>
        <v>213.1794126464799</v>
      </c>
      <c r="AB112">
        <f t="shared" si="43"/>
        <v>94.269314958233807</v>
      </c>
      <c r="AC112">
        <f t="shared" si="44"/>
        <v>330.43200000000041</v>
      </c>
      <c r="AD112">
        <f t="shared" si="45"/>
        <v>104.57964770635981</v>
      </c>
      <c r="AE112">
        <f t="shared" si="46"/>
        <v>116.70699999999998</v>
      </c>
      <c r="AF112">
        <f t="shared" si="47"/>
        <v>178.65523661081525</v>
      </c>
      <c r="AG112">
        <f t="shared" si="48"/>
        <v>167.61985328676823</v>
      </c>
      <c r="AH112">
        <f t="shared" si="49"/>
        <v>194.52821230494138</v>
      </c>
      <c r="AI112">
        <f t="shared" si="50"/>
        <v>162.22167215965993</v>
      </c>
    </row>
    <row r="113" spans="1:35" x14ac:dyDescent="0.2">
      <c r="A113">
        <f t="shared" si="40"/>
        <v>109</v>
      </c>
      <c r="B113" s="1">
        <v>40178</v>
      </c>
      <c r="C113">
        <v>3.6887740580030526E-2</v>
      </c>
      <c r="D113" s="212">
        <v>3.693092631880357E-2</v>
      </c>
      <c r="E113" s="129">
        <v>4.177561495254678E-2</v>
      </c>
      <c r="F113" s="129">
        <v>3.2210715820716329E-2</v>
      </c>
      <c r="G113" s="129">
        <v>4.2276812873264014E-2</v>
      </c>
      <c r="H113" s="129">
        <v>8.8212485459480128E-3</v>
      </c>
      <c r="I113" s="129">
        <v>-3.812339055356162E-3</v>
      </c>
      <c r="J113" s="128">
        <v>-7.247778156675877E-3</v>
      </c>
      <c r="K113" s="128">
        <v>3.2261074885675534E-3</v>
      </c>
      <c r="Z113" s="1">
        <f t="shared" si="41"/>
        <v>40178</v>
      </c>
      <c r="AA113">
        <f t="shared" si="42"/>
        <v>221.04311951718654</v>
      </c>
      <c r="AB113">
        <f t="shared" si="43"/>
        <v>97.75076808308043</v>
      </c>
      <c r="AC113">
        <f t="shared" si="44"/>
        <v>344.23600000000039</v>
      </c>
      <c r="AD113">
        <f t="shared" si="45"/>
        <v>107.94823301925999</v>
      </c>
      <c r="AE113">
        <f t="shared" si="46"/>
        <v>121.64100000000001</v>
      </c>
      <c r="AF113">
        <f t="shared" si="47"/>
        <v>180.23119885699441</v>
      </c>
      <c r="AG113">
        <f t="shared" si="48"/>
        <v>166.98082957363002</v>
      </c>
      <c r="AH113">
        <f t="shared" si="49"/>
        <v>193.11831497694041</v>
      </c>
      <c r="AI113">
        <f t="shared" si="50"/>
        <v>162.74501671102217</v>
      </c>
    </row>
    <row r="114" spans="1:35" x14ac:dyDescent="0.2">
      <c r="A114">
        <f t="shared" si="40"/>
        <v>110</v>
      </c>
      <c r="B114" s="1">
        <v>40207</v>
      </c>
      <c r="C114">
        <v>-6.1670273175739809E-2</v>
      </c>
      <c r="D114" s="212">
        <v>-3.6172918661392162E-2</v>
      </c>
      <c r="E114" s="129">
        <v>-4.3940784810420741E-2</v>
      </c>
      <c r="F114" s="129">
        <v>-2.7654476175511533E-2</v>
      </c>
      <c r="G114" s="129">
        <v>-2.6808395195698886E-2</v>
      </c>
      <c r="H114" s="129">
        <v>1.6815604881330604E-3</v>
      </c>
      <c r="I114" s="129">
        <v>1.3467135866548352E-2</v>
      </c>
      <c r="J114" s="128">
        <v>9.8350417352341957E-3</v>
      </c>
      <c r="K114" s="128">
        <v>3.4686555414940035E-3</v>
      </c>
      <c r="Z114" s="1">
        <f t="shared" si="41"/>
        <v>40207</v>
      </c>
      <c r="AA114">
        <f t="shared" si="42"/>
        <v>207.41132995294393</v>
      </c>
      <c r="AB114">
        <f t="shared" si="43"/>
        <v>94.214837500122556</v>
      </c>
      <c r="AC114">
        <f t="shared" si="44"/>
        <v>329.11000000000035</v>
      </c>
      <c r="AD114">
        <f t="shared" si="45"/>
        <v>104.96298118104029</v>
      </c>
      <c r="AE114">
        <f t="shared" si="46"/>
        <v>118.38</v>
      </c>
      <c r="AF114">
        <f t="shared" si="47"/>
        <v>180.53426851972119</v>
      </c>
      <c r="AG114">
        <f t="shared" si="48"/>
        <v>169.22958309260704</v>
      </c>
      <c r="AH114">
        <f t="shared" si="49"/>
        <v>195.01764166457673</v>
      </c>
      <c r="AI114">
        <f t="shared" si="50"/>
        <v>163.30952311508739</v>
      </c>
    </row>
    <row r="115" spans="1:35" x14ac:dyDescent="0.2">
      <c r="A115">
        <f t="shared" si="40"/>
        <v>111</v>
      </c>
      <c r="B115" s="1">
        <v>40235</v>
      </c>
      <c r="C115">
        <v>2.0459433854062681E-2</v>
      </c>
      <c r="D115" s="212">
        <v>1.9454956984682248E-2</v>
      </c>
      <c r="E115" s="129">
        <v>-1.6863662605207663E-3</v>
      </c>
      <c r="F115" s="129">
        <v>1.3679150002019913E-2</v>
      </c>
      <c r="G115" s="129">
        <v>1.8618009798952562E-2</v>
      </c>
      <c r="H115" s="129">
        <v>6.8108782195788198E-3</v>
      </c>
      <c r="I115" s="129">
        <v>4.9604362596908924E-3</v>
      </c>
      <c r="J115" s="128">
        <v>8.2240313509598373E-3</v>
      </c>
      <c r="K115" s="128">
        <v>3.4528720434034987E-3</v>
      </c>
      <c r="Z115" s="1">
        <f t="shared" si="41"/>
        <v>40235</v>
      </c>
      <c r="AA115">
        <f t="shared" si="42"/>
        <v>211.65484833869937</v>
      </c>
      <c r="AB115">
        <f t="shared" si="43"/>
        <v>96.047783111006268</v>
      </c>
      <c r="AC115">
        <f t="shared" si="44"/>
        <v>328.55500000000035</v>
      </c>
      <c r="AD115">
        <f t="shared" si="45"/>
        <v>106.39878554527493</v>
      </c>
      <c r="AE115">
        <f t="shared" si="46"/>
        <v>120.584</v>
      </c>
      <c r="AF115">
        <f t="shared" si="47"/>
        <v>181.76386543706977</v>
      </c>
      <c r="AG115">
        <f t="shared" si="48"/>
        <v>170.069035652792</v>
      </c>
      <c r="AH115">
        <f t="shared" si="49"/>
        <v>196.62147286361645</v>
      </c>
      <c r="AI115">
        <f t="shared" si="50"/>
        <v>163.87341000187303</v>
      </c>
    </row>
    <row r="116" spans="1:35" x14ac:dyDescent="0.2">
      <c r="A116">
        <f t="shared" si="40"/>
        <v>112</v>
      </c>
      <c r="B116" s="1">
        <v>40268</v>
      </c>
      <c r="C116">
        <v>5.7413614451709893E-2</v>
      </c>
      <c r="D116" s="212">
        <v>6.5226988899403704E-2</v>
      </c>
      <c r="E116" s="129">
        <v>6.2272678851333918E-2</v>
      </c>
      <c r="F116" s="129">
        <v>6.5360519058188515E-4</v>
      </c>
      <c r="G116" s="129">
        <v>4.6896769057254817E-2</v>
      </c>
      <c r="H116" s="129">
        <v>2.2199990472107078E-2</v>
      </c>
      <c r="I116" s="129">
        <v>-5.8329100211115259E-3</v>
      </c>
      <c r="J116" s="128">
        <v>3.8708383376084843E-3</v>
      </c>
      <c r="K116" s="128">
        <v>3.2679180023904575E-3</v>
      </c>
      <c r="Z116" s="1">
        <f t="shared" si="41"/>
        <v>40268</v>
      </c>
      <c r="AA116">
        <f t="shared" si="42"/>
        <v>223.80671819805258</v>
      </c>
      <c r="AB116">
        <f t="shared" si="43"/>
        <v>102.31269079380021</v>
      </c>
      <c r="AC116">
        <f t="shared" si="44"/>
        <v>349.01500000000038</v>
      </c>
      <c r="AD116">
        <f t="shared" si="45"/>
        <v>106.46832834377894</v>
      </c>
      <c r="AE116">
        <f t="shared" si="46"/>
        <v>126.23900000000002</v>
      </c>
      <c r="AF116">
        <f t="shared" si="47"/>
        <v>185.79902151794607</v>
      </c>
      <c r="AG116">
        <f t="shared" si="48"/>
        <v>169.07703827045205</v>
      </c>
      <c r="AH116">
        <f t="shared" si="49"/>
        <v>197.38256279877399</v>
      </c>
      <c r="AI116">
        <f t="shared" si="50"/>
        <v>164.40893486853125</v>
      </c>
    </row>
    <row r="117" spans="1:35" x14ac:dyDescent="0.2">
      <c r="A117">
        <f t="shared" si="40"/>
        <v>113</v>
      </c>
      <c r="B117" s="1">
        <v>40298</v>
      </c>
      <c r="C117">
        <v>-1.3459694882520301E-2</v>
      </c>
      <c r="D117" s="212">
        <v>2.507840599579314E-3</v>
      </c>
      <c r="E117" s="129">
        <v>1.002822228270972E-3</v>
      </c>
      <c r="F117" s="129">
        <v>3.9668631511868613E-2</v>
      </c>
      <c r="G117" s="129">
        <v>7.0738836651111914E-3</v>
      </c>
      <c r="H117" s="129">
        <v>1.2396886796849582E-2</v>
      </c>
      <c r="I117" s="129">
        <v>5.5095819659680689E-3</v>
      </c>
      <c r="J117" s="128">
        <v>7.1934037753125235E-3</v>
      </c>
      <c r="K117" s="128">
        <v>3.4638039936378817E-3</v>
      </c>
      <c r="Z117" s="1">
        <f t="shared" si="41"/>
        <v>40298</v>
      </c>
      <c r="AA117">
        <f t="shared" si="42"/>
        <v>220.79434805844858</v>
      </c>
      <c r="AB117">
        <f t="shared" si="43"/>
        <v>102.56927471362511</v>
      </c>
      <c r="AC117">
        <f t="shared" si="44"/>
        <v>349.36500000000035</v>
      </c>
      <c r="AD117">
        <f t="shared" si="45"/>
        <v>110.69178122853293</v>
      </c>
      <c r="AE117">
        <f t="shared" si="46"/>
        <v>127.13199999999999</v>
      </c>
      <c r="AF117">
        <f t="shared" si="47"/>
        <v>188.10235095466948</v>
      </c>
      <c r="AG117">
        <f t="shared" si="48"/>
        <v>170.00858207136622</v>
      </c>
      <c r="AH117">
        <f t="shared" si="49"/>
        <v>198.80241527119156</v>
      </c>
      <c r="AI117">
        <f t="shared" si="50"/>
        <v>164.9784151937186</v>
      </c>
    </row>
    <row r="118" spans="1:35" x14ac:dyDescent="0.2">
      <c r="A118">
        <f t="shared" si="40"/>
        <v>114</v>
      </c>
      <c r="B118" s="1">
        <v>40329</v>
      </c>
      <c r="C118">
        <v>-7.5400798645467115E-2</v>
      </c>
      <c r="D118" s="212">
        <v>-7.5753269310824933E-2</v>
      </c>
      <c r="E118" s="129">
        <v>-5.2151761052194767E-2</v>
      </c>
      <c r="F118" s="129">
        <v>-3.8354275206864852E-2</v>
      </c>
      <c r="G118" s="129">
        <v>-5.4431614385048621E-2</v>
      </c>
      <c r="H118" s="129">
        <v>-2.7643511485522243E-2</v>
      </c>
      <c r="I118" s="129">
        <v>1.6453099495834733E-2</v>
      </c>
      <c r="J118" s="128">
        <v>1.6498456083483548E-2</v>
      </c>
      <c r="K118" s="128">
        <v>3.7524321204658317E-3</v>
      </c>
      <c r="Z118" s="1">
        <f t="shared" si="41"/>
        <v>40329</v>
      </c>
      <c r="AA118">
        <f t="shared" si="42"/>
        <v>204.14627787843631</v>
      </c>
      <c r="AB118">
        <f t="shared" si="43"/>
        <v>94.799316823227883</v>
      </c>
      <c r="AC118">
        <f t="shared" si="44"/>
        <v>331.14500000000032</v>
      </c>
      <c r="AD118">
        <f t="shared" si="45"/>
        <v>106.4462781881557</v>
      </c>
      <c r="AE118">
        <f t="shared" si="46"/>
        <v>120.21199999999999</v>
      </c>
      <c r="AF118">
        <f t="shared" si="47"/>
        <v>182.90254145560033</v>
      </c>
      <c r="AG118">
        <f t="shared" si="48"/>
        <v>172.80575018733219</v>
      </c>
      <c r="AH118">
        <f t="shared" si="49"/>
        <v>202.08234818883378</v>
      </c>
      <c r="AI118">
        <f t="shared" si="50"/>
        <v>165.59748549807506</v>
      </c>
    </row>
    <row r="119" spans="1:35" x14ac:dyDescent="0.2">
      <c r="A119">
        <f t="shared" si="40"/>
        <v>115</v>
      </c>
      <c r="B119" s="1">
        <v>40359</v>
      </c>
      <c r="C119">
        <v>-2.6467149677329549E-2</v>
      </c>
      <c r="D119" s="212">
        <v>-4.167482063850525E-2</v>
      </c>
      <c r="E119" s="129">
        <v>-5.1669208352834728E-3</v>
      </c>
      <c r="F119" s="129">
        <v>-1.0739837787019813E-2</v>
      </c>
      <c r="G119" s="129">
        <v>8.6430639204073678E-3</v>
      </c>
      <c r="H119" s="129">
        <v>-8.4270327849449433E-3</v>
      </c>
      <c r="I119" s="129">
        <v>1.36508407762026E-2</v>
      </c>
      <c r="J119" s="128">
        <v>1.1324762235887409E-2</v>
      </c>
      <c r="K119" s="128">
        <v>3.9508139257558028E-3</v>
      </c>
      <c r="Z119" s="1">
        <f t="shared" si="41"/>
        <v>40359</v>
      </c>
      <c r="AA119">
        <f t="shared" si="42"/>
        <v>198.74310778575801</v>
      </c>
      <c r="AB119">
        <f t="shared" si="43"/>
        <v>90.848572297967024</v>
      </c>
      <c r="AC119">
        <f t="shared" si="44"/>
        <v>329.43400000000037</v>
      </c>
      <c r="AD119">
        <f t="shared" si="45"/>
        <v>105.30306242738293</v>
      </c>
      <c r="AE119">
        <f t="shared" si="46"/>
        <v>121.251</v>
      </c>
      <c r="AF119">
        <f t="shared" si="47"/>
        <v>181.36121574230424</v>
      </c>
      <c r="AG119">
        <f t="shared" si="48"/>
        <v>175.16469396835171</v>
      </c>
      <c r="AH119">
        <f t="shared" si="49"/>
        <v>204.37088273414213</v>
      </c>
      <c r="AI119">
        <f t="shared" si="50"/>
        <v>166.25173034985099</v>
      </c>
    </row>
    <row r="120" spans="1:35" x14ac:dyDescent="0.2">
      <c r="A120">
        <f t="shared" si="40"/>
        <v>116</v>
      </c>
      <c r="B120" s="1">
        <v>40389</v>
      </c>
      <c r="C120">
        <v>4.4760682036928623E-2</v>
      </c>
      <c r="D120" s="212">
        <v>5.7381220436113933E-2</v>
      </c>
      <c r="E120" s="129">
        <v>6.166333772470356E-2</v>
      </c>
      <c r="F120" s="129">
        <v>9.8336098448850162E-3</v>
      </c>
      <c r="G120" s="129">
        <v>4.7793420260451525E-2</v>
      </c>
      <c r="H120" s="129">
        <v>1.587528945546568E-2</v>
      </c>
      <c r="I120" s="129">
        <v>2.7274740534426467E-3</v>
      </c>
      <c r="J120" s="128">
        <v>9.3347459572072911E-3</v>
      </c>
      <c r="K120" s="128">
        <v>4.2213507167665476E-3</v>
      </c>
      <c r="Z120" s="1">
        <f t="shared" si="41"/>
        <v>40389</v>
      </c>
      <c r="AA120">
        <f t="shared" si="42"/>
        <v>207.63898484038737</v>
      </c>
      <c r="AB120">
        <f t="shared" si="43"/>
        <v>96.061574251302901</v>
      </c>
      <c r="AC120">
        <f t="shared" si="44"/>
        <v>349.74800000000039</v>
      </c>
      <c r="AD120">
        <f t="shared" si="45"/>
        <v>106.33857165876537</v>
      </c>
      <c r="AE120">
        <f t="shared" si="46"/>
        <v>127.04600000000001</v>
      </c>
      <c r="AF120">
        <f t="shared" si="47"/>
        <v>184.24037753820849</v>
      </c>
      <c r="AG120">
        <f t="shared" si="48"/>
        <v>175.64245112622962</v>
      </c>
      <c r="AH120">
        <f t="shared" si="49"/>
        <v>206.27863300551556</v>
      </c>
      <c r="AI120">
        <f t="shared" si="50"/>
        <v>166.95353721092701</v>
      </c>
    </row>
    <row r="121" spans="1:35" x14ac:dyDescent="0.2">
      <c r="A121">
        <f t="shared" si="40"/>
        <v>117</v>
      </c>
      <c r="B121" s="1">
        <v>40421</v>
      </c>
      <c r="C121">
        <v>-1.0810172862322887E-2</v>
      </c>
      <c r="D121" s="212">
        <v>-3.3640849888085134E-2</v>
      </c>
      <c r="E121" s="129">
        <v>-1.4135892128046557E-2</v>
      </c>
      <c r="F121" s="129">
        <v>4.0099850861732289E-2</v>
      </c>
      <c r="G121" s="129">
        <v>1.268044645246591E-2</v>
      </c>
      <c r="H121" s="129">
        <v>2.349955350848365E-3</v>
      </c>
      <c r="I121" s="129">
        <v>1.920623136371935E-2</v>
      </c>
      <c r="J121" s="128">
        <v>2.3440298770652346E-2</v>
      </c>
      <c r="K121" s="128">
        <v>4.0598479359810202E-3</v>
      </c>
      <c r="Z121" s="1">
        <f t="shared" si="41"/>
        <v>40421</v>
      </c>
      <c r="AA121">
        <f t="shared" si="42"/>
        <v>205.39437152130554</v>
      </c>
      <c r="AB121">
        <f t="shared" si="43"/>
        <v>92.829981251901671</v>
      </c>
      <c r="AC121">
        <f t="shared" si="44"/>
        <v>344.80400000000037</v>
      </c>
      <c r="AD121">
        <f t="shared" si="45"/>
        <v>110.60273252313149</v>
      </c>
      <c r="AE121">
        <f t="shared" si="46"/>
        <v>128.65699999999998</v>
      </c>
      <c r="AF121">
        <f t="shared" si="47"/>
        <v>184.67333419924674</v>
      </c>
      <c r="AG121">
        <f t="shared" si="48"/>
        <v>179.01588067985074</v>
      </c>
      <c r="AH121">
        <f t="shared" si="49"/>
        <v>211.11386579316658</v>
      </c>
      <c r="AI121">
        <f t="shared" si="50"/>
        <v>167.63134318437753</v>
      </c>
    </row>
    <row r="122" spans="1:35" x14ac:dyDescent="0.2">
      <c r="A122">
        <f t="shared" si="40"/>
        <v>118</v>
      </c>
      <c r="B122" s="1">
        <v>40451</v>
      </c>
      <c r="C122">
        <v>4.7877356694446371E-2</v>
      </c>
      <c r="D122" s="212">
        <v>6.9510766354665687E-2</v>
      </c>
      <c r="E122" s="129">
        <v>7.725548427512452E-2</v>
      </c>
      <c r="F122" s="129">
        <v>-9.5464478779281325E-3</v>
      </c>
      <c r="G122" s="129">
        <v>2.2198558959092951E-2</v>
      </c>
      <c r="H122" s="129">
        <v>3.4322689548459628E-2</v>
      </c>
      <c r="I122" s="129">
        <v>-9.0245864693138111E-3</v>
      </c>
      <c r="J122" s="128">
        <v>8.8098855712392954E-4</v>
      </c>
      <c r="K122" s="128">
        <v>3.7148721775626115E-3</v>
      </c>
      <c r="Z122" s="1">
        <f t="shared" si="41"/>
        <v>40451</v>
      </c>
      <c r="AA122">
        <f t="shared" si="42"/>
        <v>215.22811110966273</v>
      </c>
      <c r="AB122">
        <f t="shared" si="43"/>
        <v>99.282664389410598</v>
      </c>
      <c r="AC122">
        <f t="shared" si="44"/>
        <v>371.44200000000046</v>
      </c>
      <c r="AD122">
        <f t="shared" si="45"/>
        <v>109.54686930194299</v>
      </c>
      <c r="AE122">
        <f t="shared" si="46"/>
        <v>131.51300000000001</v>
      </c>
      <c r="AF122">
        <f t="shared" si="47"/>
        <v>191.01181971684642</v>
      </c>
      <c r="AG122">
        <f t="shared" si="48"/>
        <v>177.40033638527507</v>
      </c>
      <c r="AH122">
        <f t="shared" si="49"/>
        <v>211.29985469318055</v>
      </c>
      <c r="AI122">
        <f t="shared" si="50"/>
        <v>168.25407219726063</v>
      </c>
    </row>
    <row r="123" spans="1:35" x14ac:dyDescent="0.2">
      <c r="A123">
        <f t="shared" si="40"/>
        <v>119</v>
      </c>
      <c r="B123" s="1">
        <v>40480</v>
      </c>
      <c r="C123">
        <v>1.8352491013166272E-2</v>
      </c>
      <c r="D123" s="212">
        <v>2.8493902885130762E-2</v>
      </c>
      <c r="E123" s="129">
        <v>2.3126086979932126E-2</v>
      </c>
      <c r="F123" s="129">
        <v>-2.1986529379888209E-3</v>
      </c>
      <c r="G123" s="129">
        <v>2.8635952339312265E-2</v>
      </c>
      <c r="H123" s="129">
        <v>1.9221179563896795E-2</v>
      </c>
      <c r="I123" s="129">
        <v>4.6593456028976021E-6</v>
      </c>
      <c r="J123" s="128">
        <v>-5.1508095423613565E-4</v>
      </c>
      <c r="K123" s="128">
        <v>4.1992273909263744E-3</v>
      </c>
      <c r="Z123" s="1">
        <f t="shared" si="41"/>
        <v>40480</v>
      </c>
      <c r="AA123">
        <f t="shared" si="42"/>
        <v>219.17808308458356</v>
      </c>
      <c r="AB123">
        <f t="shared" si="43"/>
        <v>102.11161498669949</v>
      </c>
      <c r="AC123">
        <f t="shared" si="44"/>
        <v>380.03200000000044</v>
      </c>
      <c r="AD123">
        <f t="shared" si="45"/>
        <v>109.3060137559048</v>
      </c>
      <c r="AE123">
        <f t="shared" si="46"/>
        <v>135.27899999999997</v>
      </c>
      <c r="AF123">
        <f t="shared" si="47"/>
        <v>194.68329220245062</v>
      </c>
      <c r="AG123">
        <f t="shared" si="48"/>
        <v>177.40116295475235</v>
      </c>
      <c r="AH123">
        <f t="shared" si="49"/>
        <v>211.19101816239524</v>
      </c>
      <c r="AI123">
        <f t="shared" si="50"/>
        <v>168.96060930586626</v>
      </c>
    </row>
    <row r="124" spans="1:35" x14ac:dyDescent="0.2">
      <c r="A124">
        <f t="shared" si="40"/>
        <v>120</v>
      </c>
      <c r="B124" s="1">
        <v>40512</v>
      </c>
      <c r="C124">
        <v>-9.6834998693107188E-3</v>
      </c>
      <c r="D124" s="212">
        <v>-3.290932991759532E-3</v>
      </c>
      <c r="E124" s="129">
        <v>-1.0685942236443147E-2</v>
      </c>
      <c r="F124" s="129">
        <v>-2.2593609856772612E-2</v>
      </c>
      <c r="G124" s="129">
        <v>-5.9358806614477899E-3</v>
      </c>
      <c r="H124" s="129">
        <v>-1.845839078414846E-3</v>
      </c>
      <c r="I124" s="129">
        <v>-2.1979155470229772E-3</v>
      </c>
      <c r="J124" s="128">
        <v>-9.6483542682421763E-3</v>
      </c>
      <c r="K124" s="128">
        <v>3.8871618271614228E-3</v>
      </c>
      <c r="Z124" s="1">
        <f t="shared" si="41"/>
        <v>40512</v>
      </c>
      <c r="AA124">
        <f t="shared" si="42"/>
        <v>217.05567214567822</v>
      </c>
      <c r="AB124">
        <f t="shared" si="43"/>
        <v>101.77557250409792</v>
      </c>
      <c r="AC124">
        <f t="shared" si="44"/>
        <v>375.97100000000046</v>
      </c>
      <c r="AD124">
        <f t="shared" si="45"/>
        <v>106.83639632610486</v>
      </c>
      <c r="AE124">
        <f t="shared" si="46"/>
        <v>134.47599999999997</v>
      </c>
      <c r="AF124">
        <f t="shared" si="47"/>
        <v>194.32393817378889</v>
      </c>
      <c r="AG124">
        <f t="shared" si="48"/>
        <v>177.01125018063414</v>
      </c>
      <c r="AH124">
        <f t="shared" si="49"/>
        <v>209.15337240089369</v>
      </c>
      <c r="AI124">
        <f t="shared" si="50"/>
        <v>169.61738653665395</v>
      </c>
    </row>
    <row r="125" spans="1:35" x14ac:dyDescent="0.2">
      <c r="A125">
        <f t="shared" si="40"/>
        <v>121</v>
      </c>
      <c r="B125" s="1">
        <v>40543</v>
      </c>
      <c r="C125">
        <v>3.7732121216488501E-2</v>
      </c>
      <c r="D125" s="212">
        <v>5.6555905865696365E-2</v>
      </c>
      <c r="E125" s="129">
        <v>4.4668338781448602E-2</v>
      </c>
      <c r="F125" s="129">
        <v>1.4225157572197444E-2</v>
      </c>
      <c r="G125" s="129">
        <v>2.7454713108658879E-2</v>
      </c>
      <c r="H125" s="129">
        <v>2.9031036249805187E-2</v>
      </c>
      <c r="I125" s="129">
        <v>2.6568341261157258E-4</v>
      </c>
      <c r="J125" s="128">
        <v>4.0732340013560631E-5</v>
      </c>
      <c r="K125" s="128">
        <v>4.2417802772114488E-3</v>
      </c>
      <c r="Z125" s="1">
        <f t="shared" si="41"/>
        <v>40543</v>
      </c>
      <c r="AA125">
        <f t="shared" si="42"/>
        <v>225.24564307780534</v>
      </c>
      <c r="AB125">
        <f t="shared" si="43"/>
        <v>107.53158220206704</v>
      </c>
      <c r="AC125">
        <f t="shared" si="44"/>
        <v>392.7650000000005</v>
      </c>
      <c r="AD125">
        <f t="shared" si="45"/>
        <v>108.35616089828945</v>
      </c>
      <c r="AE125">
        <f t="shared" si="46"/>
        <v>138.16799999999998</v>
      </c>
      <c r="AF125">
        <f t="shared" si="47"/>
        <v>199.96536346711704</v>
      </c>
      <c r="AG125">
        <f t="shared" si="48"/>
        <v>177.05827913365277</v>
      </c>
      <c r="AH125">
        <f t="shared" si="49"/>
        <v>209.16189170717331</v>
      </c>
      <c r="AI125">
        <f t="shared" si="50"/>
        <v>170.33686622153729</v>
      </c>
    </row>
    <row r="126" spans="1:35" x14ac:dyDescent="0.2">
      <c r="A126">
        <f t="shared" si="40"/>
        <v>122</v>
      </c>
      <c r="B126" s="1">
        <v>40574</v>
      </c>
      <c r="C126">
        <v>1.0535197281045239E-3</v>
      </c>
      <c r="D126" s="212">
        <v>1.9387959556348644E-2</v>
      </c>
      <c r="E126" s="129">
        <v>-2.1193334436622413E-2</v>
      </c>
      <c r="F126" s="129">
        <v>2.4505737050545484E-2</v>
      </c>
      <c r="G126" s="129">
        <v>1.8274853801169666E-2</v>
      </c>
      <c r="H126" s="129">
        <v>6.8852033083619535E-3</v>
      </c>
      <c r="I126" s="129">
        <v>9.2016337926503766E-3</v>
      </c>
      <c r="J126" s="128">
        <v>-9.9446932270363941E-4</v>
      </c>
      <c r="K126" s="128">
        <v>4.2842876401247842E-3</v>
      </c>
      <c r="Z126" s="1">
        <f t="shared" si="41"/>
        <v>40574</v>
      </c>
      <c r="AA126">
        <f t="shared" si="42"/>
        <v>225.4829438064574</v>
      </c>
      <c r="AB126">
        <f t="shared" si="43"/>
        <v>109.61640016883089</v>
      </c>
      <c r="AC126">
        <f t="shared" si="44"/>
        <v>384.44100000000049</v>
      </c>
      <c r="AD126">
        <f t="shared" si="45"/>
        <v>111.01150848506953</v>
      </c>
      <c r="AE126">
        <f t="shared" si="46"/>
        <v>140.69299999999998</v>
      </c>
      <c r="AF126">
        <f t="shared" si="47"/>
        <v>201.34216564921863</v>
      </c>
      <c r="AG126">
        <f t="shared" si="48"/>
        <v>178.68750457819752</v>
      </c>
      <c r="AH126">
        <f t="shared" si="49"/>
        <v>208.95388662239188</v>
      </c>
      <c r="AI126">
        <f t="shared" si="50"/>
        <v>171.06663835214781</v>
      </c>
    </row>
    <row r="127" spans="1:35" x14ac:dyDescent="0.2">
      <c r="A127">
        <f t="shared" si="40"/>
        <v>123</v>
      </c>
      <c r="B127" s="1">
        <v>40602</v>
      </c>
      <c r="C127">
        <v>2.3318664325406191E-2</v>
      </c>
      <c r="D127" s="212">
        <v>2.9231091597947234E-2</v>
      </c>
      <c r="E127" s="129">
        <v>-1.3986541497915006E-2</v>
      </c>
      <c r="F127" s="129">
        <v>3.0436144449452529E-2</v>
      </c>
      <c r="G127" s="129">
        <v>3.1216904892211961E-2</v>
      </c>
      <c r="H127" s="129">
        <v>1.3826767589884659E-2</v>
      </c>
      <c r="I127" s="129">
        <v>4.2416827638569465E-3</v>
      </c>
      <c r="J127" s="128">
        <v>3.2731507271019922E-3</v>
      </c>
      <c r="K127" s="128">
        <v>3.7098764707168552E-3</v>
      </c>
      <c r="Z127" s="1">
        <f t="shared" si="41"/>
        <v>40602</v>
      </c>
      <c r="AA127">
        <f t="shared" si="42"/>
        <v>230.7409048841846</v>
      </c>
      <c r="AB127">
        <f t="shared" si="43"/>
        <v>112.82060720280323</v>
      </c>
      <c r="AC127">
        <f t="shared" si="44"/>
        <v>379.06400000000053</v>
      </c>
      <c r="AD127">
        <f t="shared" si="45"/>
        <v>114.39027079287273</v>
      </c>
      <c r="AE127">
        <f t="shared" si="46"/>
        <v>145.08499999999995</v>
      </c>
      <c r="AF127">
        <f t="shared" si="47"/>
        <v>204.12607697969443</v>
      </c>
      <c r="AG127">
        <f t="shared" si="48"/>
        <v>179.44544028648346</v>
      </c>
      <c r="AH127">
        <f t="shared" si="49"/>
        <v>209.63782418832074</v>
      </c>
      <c r="AI127">
        <f t="shared" si="50"/>
        <v>171.70127444869507</v>
      </c>
    </row>
    <row r="128" spans="1:35" x14ac:dyDescent="0.2">
      <c r="A128">
        <f t="shared" si="40"/>
        <v>124</v>
      </c>
      <c r="B128" s="1">
        <v>40633</v>
      </c>
      <c r="C128">
        <v>6.6809778694196797E-3</v>
      </c>
      <c r="D128" s="212">
        <v>-1.2745104436512555E-2</v>
      </c>
      <c r="E128" s="129">
        <v>4.2918873857712647E-2</v>
      </c>
      <c r="F128" s="129">
        <v>-1.9165041777566838E-2</v>
      </c>
      <c r="G128" s="129">
        <v>-2.32415480580348E-2</v>
      </c>
      <c r="H128" s="129">
        <v>1.2301949222643938E-3</v>
      </c>
      <c r="I128" s="129">
        <v>6.8283595958069654E-3</v>
      </c>
      <c r="J128" s="128">
        <v>2.9086000957965208E-3</v>
      </c>
      <c r="K128" s="128">
        <v>4.1879337502763736E-3</v>
      </c>
      <c r="Z128" s="1">
        <f t="shared" si="41"/>
        <v>40633</v>
      </c>
      <c r="AA128">
        <f t="shared" si="42"/>
        <v>232.28247976328572</v>
      </c>
      <c r="AB128">
        <f t="shared" si="43"/>
        <v>111.38269678141275</v>
      </c>
      <c r="AC128">
        <f t="shared" si="44"/>
        <v>395.33300000000054</v>
      </c>
      <c r="AD128">
        <f t="shared" si="45"/>
        <v>112.19797647418014</v>
      </c>
      <c r="AE128">
        <f t="shared" si="46"/>
        <v>141.71299999999997</v>
      </c>
      <c r="AF128">
        <f t="shared" si="47"/>
        <v>204.3771918430966</v>
      </c>
      <c r="AG128">
        <f t="shared" si="48"/>
        <v>180.67075828058748</v>
      </c>
      <c r="AH128">
        <f t="shared" si="49"/>
        <v>210.24757678383745</v>
      </c>
      <c r="AI128">
        <f t="shared" si="50"/>
        <v>172.42034801092424</v>
      </c>
    </row>
    <row r="129" spans="1:35" x14ac:dyDescent="0.2">
      <c r="A129">
        <f t="shared" si="40"/>
        <v>125</v>
      </c>
      <c r="B129" s="1">
        <v>40662</v>
      </c>
      <c r="C129">
        <v>-3.1776067528562768E-3</v>
      </c>
      <c r="D129" s="212">
        <v>2.2675808901385208E-2</v>
      </c>
      <c r="E129" s="129">
        <v>8.0489106651859821E-3</v>
      </c>
      <c r="F129" s="129">
        <v>1.2698796637842236E-3</v>
      </c>
      <c r="G129" s="129">
        <v>2.0844947181980489E-2</v>
      </c>
      <c r="H129" s="129">
        <v>1.802775129753198E-2</v>
      </c>
      <c r="I129" s="129">
        <v>4.7893983585514111E-3</v>
      </c>
      <c r="J129" s="128">
        <v>1.0806186593043998E-2</v>
      </c>
      <c r="K129" s="128">
        <v>4.0264877193503246E-3</v>
      </c>
      <c r="Z129" s="1">
        <f t="shared" si="41"/>
        <v>40662</v>
      </c>
      <c r="AA129">
        <f t="shared" si="42"/>
        <v>231.54437738701969</v>
      </c>
      <c r="AB129">
        <f t="shared" si="43"/>
        <v>113.90838952854899</v>
      </c>
      <c r="AC129">
        <f t="shared" si="44"/>
        <v>398.5150000000005</v>
      </c>
      <c r="AD129">
        <f t="shared" si="45"/>
        <v>112.34045440282244</v>
      </c>
      <c r="AE129">
        <f t="shared" si="46"/>
        <v>144.66699999999997</v>
      </c>
      <c r="AF129">
        <f t="shared" si="47"/>
        <v>208.06165302853194</v>
      </c>
      <c r="AG129">
        <f t="shared" si="48"/>
        <v>181.53606251373475</v>
      </c>
      <c r="AH129">
        <f t="shared" si="49"/>
        <v>212.51955132929893</v>
      </c>
      <c r="AI129">
        <f t="shared" si="50"/>
        <v>173.11459642475634</v>
      </c>
    </row>
    <row r="130" spans="1:35" x14ac:dyDescent="0.2">
      <c r="A130">
        <f t="shared" si="40"/>
        <v>126</v>
      </c>
      <c r="B130" s="1">
        <v>40694</v>
      </c>
      <c r="C130">
        <v>-2.0176610433030984E-2</v>
      </c>
      <c r="D130" s="212">
        <v>-1.2725938621991451E-2</v>
      </c>
      <c r="E130" s="129">
        <v>-1.5926627604983423E-2</v>
      </c>
      <c r="F130" s="129">
        <v>5.2844546442787355E-4</v>
      </c>
      <c r="G130" s="129">
        <v>5.7718761016678499E-3</v>
      </c>
      <c r="H130" s="129">
        <v>-9.5721658065590631E-3</v>
      </c>
      <c r="I130" s="129">
        <v>1.2839230848821215E-2</v>
      </c>
      <c r="J130" s="128">
        <v>1.3640896475122233E-2</v>
      </c>
      <c r="K130" s="128">
        <v>4.1648746962894556E-3</v>
      </c>
      <c r="Z130" s="1">
        <f t="shared" si="41"/>
        <v>40694</v>
      </c>
      <c r="AA130">
        <f t="shared" si="42"/>
        <v>226.87259668652308</v>
      </c>
      <c r="AB130">
        <f t="shared" si="43"/>
        <v>112.45879835487878</v>
      </c>
      <c r="AC130">
        <f t="shared" si="44"/>
        <v>392.16800000000052</v>
      </c>
      <c r="AD130">
        <f t="shared" si="45"/>
        <v>112.39982020642339</v>
      </c>
      <c r="AE130">
        <f t="shared" si="46"/>
        <v>145.50199999999995</v>
      </c>
      <c r="AF130">
        <f t="shared" si="47"/>
        <v>206.07005238775608</v>
      </c>
      <c r="AG130">
        <f t="shared" si="48"/>
        <v>183.86684592773463</v>
      </c>
      <c r="AH130">
        <f t="shared" si="49"/>
        <v>215.41850852792132</v>
      </c>
      <c r="AI130">
        <f t="shared" si="50"/>
        <v>173.83559702696417</v>
      </c>
    </row>
    <row r="131" spans="1:35" x14ac:dyDescent="0.2">
      <c r="A131">
        <f t="shared" si="40"/>
        <v>127</v>
      </c>
      <c r="B131" s="1">
        <v>40724</v>
      </c>
      <c r="C131">
        <v>-1.9755834319880372E-2</v>
      </c>
      <c r="D131" s="212">
        <v>-1.5851056540715613E-2</v>
      </c>
      <c r="E131" s="129">
        <v>-1.8933212296770807E-2</v>
      </c>
      <c r="F131" s="129">
        <v>-8.2771213424479573E-3</v>
      </c>
      <c r="G131" s="129">
        <v>9.0857857623949378E-3</v>
      </c>
      <c r="H131" s="129">
        <v>-1.3614589461299231E-2</v>
      </c>
      <c r="I131" s="129">
        <v>5.5140920853842257E-3</v>
      </c>
      <c r="J131" s="128">
        <v>2.90164576193086E-3</v>
      </c>
      <c r="K131" s="128">
        <v>4.04189433080826E-3</v>
      </c>
      <c r="Z131" s="1">
        <f t="shared" si="41"/>
        <v>40724</v>
      </c>
      <c r="AA131">
        <f t="shared" si="42"/>
        <v>222.39053925466308</v>
      </c>
      <c r="AB131">
        <f t="shared" si="43"/>
        <v>110.67620758365466</v>
      </c>
      <c r="AC131">
        <f t="shared" si="44"/>
        <v>384.74300000000051</v>
      </c>
      <c r="AD131">
        <f t="shared" si="45"/>
        <v>111.46947325570548</v>
      </c>
      <c r="AE131">
        <f t="shared" si="46"/>
        <v>146.82399999999993</v>
      </c>
      <c r="AF131">
        <f t="shared" si="47"/>
        <v>203.26449322422835</v>
      </c>
      <c r="AG131">
        <f t="shared" si="48"/>
        <v>184.8807046476293</v>
      </c>
      <c r="AH131">
        <f t="shared" si="49"/>
        <v>216.04357673023281</v>
      </c>
      <c r="AI131">
        <f t="shared" si="50"/>
        <v>174.53822214108013</v>
      </c>
    </row>
    <row r="132" spans="1:35" x14ac:dyDescent="0.2">
      <c r="A132">
        <f t="shared" si="40"/>
        <v>128</v>
      </c>
      <c r="B132" s="1">
        <v>40753</v>
      </c>
      <c r="C132">
        <v>-3.8308998785836823E-2</v>
      </c>
      <c r="D132" s="212">
        <v>-2.7254118715499986E-2</v>
      </c>
      <c r="E132" s="129">
        <v>-9.5830203538466163E-3</v>
      </c>
      <c r="F132" s="129">
        <v>-6.6016418512291009E-2</v>
      </c>
      <c r="G132" s="129">
        <v>-1.2436658856862626E-2</v>
      </c>
      <c r="H132" s="129">
        <v>6.8799522876372698E-3</v>
      </c>
      <c r="I132" s="129">
        <v>1.673646037298715E-2</v>
      </c>
      <c r="J132" s="128">
        <v>1.2767077378280645E-2</v>
      </c>
      <c r="K132" s="128">
        <v>4.1823145734345424E-3</v>
      </c>
      <c r="Z132" s="1">
        <f t="shared" si="41"/>
        <v>40753</v>
      </c>
      <c r="AA132">
        <f t="shared" si="42"/>
        <v>213.87098035637459</v>
      </c>
      <c r="AB132">
        <f t="shared" si="43"/>
        <v>107.65982508318841</v>
      </c>
      <c r="AC132">
        <f t="shared" si="44"/>
        <v>381.05600000000049</v>
      </c>
      <c r="AD132">
        <f t="shared" si="45"/>
        <v>104.1106578579122</v>
      </c>
      <c r="AE132">
        <f t="shared" si="46"/>
        <v>144.99799999999993</v>
      </c>
      <c r="AF132">
        <f t="shared" si="47"/>
        <v>204.6629432393818</v>
      </c>
      <c r="AG132">
        <f t="shared" si="48"/>
        <v>187.97495323469428</v>
      </c>
      <c r="AH132">
        <f t="shared" si="49"/>
        <v>218.80182179142821</v>
      </c>
      <c r="AI132">
        <f t="shared" si="50"/>
        <v>175.26819589116212</v>
      </c>
    </row>
    <row r="133" spans="1:35" x14ac:dyDescent="0.2">
      <c r="A133">
        <f t="shared" si="40"/>
        <v>129</v>
      </c>
      <c r="B133" s="1">
        <v>40786</v>
      </c>
      <c r="C133">
        <v>-1.9785110991653809E-2</v>
      </c>
      <c r="D133" s="212">
        <v>-6.7656905596796491E-2</v>
      </c>
      <c r="E133" s="129">
        <v>-7.3291064830366182E-2</v>
      </c>
      <c r="F133" s="129">
        <v>3.2021831215379715E-2</v>
      </c>
      <c r="G133" s="129">
        <v>-8.7104649719307314E-3</v>
      </c>
      <c r="H133" s="129">
        <v>-2.2995070973747089E-2</v>
      </c>
      <c r="I133" s="129">
        <v>1.9912789243096807E-2</v>
      </c>
      <c r="J133" s="128">
        <v>2.3164837395528659E-2</v>
      </c>
      <c r="K133" s="128">
        <v>4.2622269273311364E-3</v>
      </c>
      <c r="Z133" s="1">
        <f t="shared" ref="Z133:Z149" si="51">B133</f>
        <v>40786</v>
      </c>
      <c r="AA133">
        <f t="shared" si="42"/>
        <v>209.63951927212992</v>
      </c>
      <c r="AB133">
        <f t="shared" si="43"/>
        <v>100.3758944609675</v>
      </c>
      <c r="AC133">
        <f t="shared" si="44"/>
        <v>353.12800000000044</v>
      </c>
      <c r="AD133">
        <f t="shared" si="45"/>
        <v>107.44447177156042</v>
      </c>
      <c r="AE133">
        <f t="shared" si="46"/>
        <v>143.73499999999993</v>
      </c>
      <c r="AF133">
        <f t="shared" si="47"/>
        <v>199.95670433389625</v>
      </c>
      <c r="AG133">
        <f t="shared" si="48"/>
        <v>191.71805886143773</v>
      </c>
      <c r="AH133">
        <f t="shared" si="49"/>
        <v>223.87033041507209</v>
      </c>
      <c r="AI133">
        <f t="shared" si="50"/>
        <v>176.01522871519418</v>
      </c>
    </row>
    <row r="134" spans="1:35" x14ac:dyDescent="0.2">
      <c r="A134">
        <f t="shared" si="40"/>
        <v>130</v>
      </c>
      <c r="B134" s="1">
        <v>40816</v>
      </c>
      <c r="C134">
        <v>-6.2753860229939784E-2</v>
      </c>
      <c r="D134" s="212">
        <v>-6.0615617355572748E-2</v>
      </c>
      <c r="E134" s="129">
        <v>-7.4202555447316465E-2</v>
      </c>
      <c r="F134" s="129">
        <v>-4.5188687436360953E-2</v>
      </c>
      <c r="G134" s="129">
        <v>-1.0950707899954781E-2</v>
      </c>
      <c r="H134" s="129">
        <v>-3.2002425082279573E-2</v>
      </c>
      <c r="I134" s="129">
        <v>9.0017162267275186E-3</v>
      </c>
      <c r="J134" s="128">
        <v>1.526803726105741E-2</v>
      </c>
      <c r="K134" s="128">
        <v>3.868318089416789E-3</v>
      </c>
      <c r="Z134" s="1">
        <f t="shared" si="51"/>
        <v>40816</v>
      </c>
      <c r="AA134">
        <f t="shared" ref="AA134:AA149" si="52">IF($Z134&lt;$B$1,100,AA133*(1+C134))</f>
        <v>196.48383018105491</v>
      </c>
      <c r="AB134">
        <f t="shared" ref="AB134:AB149" si="53">IF($Z134&lt;$B$1,100,AB133*(1+D134))</f>
        <v>94.291547650598147</v>
      </c>
      <c r="AC134">
        <f t="shared" ref="AC134:AC149" si="54">IF($Z134&lt;$B$1,100,AC133*(1+E134))</f>
        <v>326.92500000000047</v>
      </c>
      <c r="AD134">
        <f t="shared" ref="AD134:AD149" si="55">IF($Z134&lt;$B$1,100,AD133*(1+F134))</f>
        <v>102.58919711991047</v>
      </c>
      <c r="AE134">
        <f t="shared" ref="AE134:AE149" si="56">IF($Z134&lt;$B$1,100,AE133*(1+G134))</f>
        <v>142.16099999999992</v>
      </c>
      <c r="AF134">
        <f t="shared" ref="AF134:AF149" si="57">IF($Z134&lt;$B$1,100,AF133*(1+H134))</f>
        <v>193.55760488375122</v>
      </c>
      <c r="AG134">
        <f t="shared" ref="AG134:AG149" si="58">IF($Z134&lt;$B$1,100,AG133*(1+I134))</f>
        <v>193.44385042284742</v>
      </c>
      <c r="AH134">
        <f t="shared" ref="AH134:AH149" si="59">IF($Z134&lt;$B$1,100,AH133*(1+J134))</f>
        <v>227.28839096149466</v>
      </c>
      <c r="AI134">
        <f t="shared" ref="AI134:AI149" si="60">IF($Z134&lt;$B$1,100,AI133*(1+K134))</f>
        <v>176.69611160844599</v>
      </c>
    </row>
    <row r="135" spans="1:35" x14ac:dyDescent="0.2">
      <c r="A135">
        <f t="shared" si="40"/>
        <v>131</v>
      </c>
      <c r="B135" s="1">
        <v>40847</v>
      </c>
      <c r="C135">
        <v>7.231493367565256E-2</v>
      </c>
      <c r="D135" s="212">
        <v>8.5485949611394219E-2</v>
      </c>
      <c r="E135" s="129">
        <v>9.058958476714829E-2</v>
      </c>
      <c r="F135" s="129">
        <v>3.5762114974455583E-2</v>
      </c>
      <c r="G135" s="129">
        <v>5.2553091213483283E-2</v>
      </c>
      <c r="H135" s="129">
        <v>1.7290743971726474E-2</v>
      </c>
      <c r="I135" s="129">
        <v>-5.7155419097256743E-3</v>
      </c>
      <c r="J135" s="128">
        <v>-2.2801069721408718E-3</v>
      </c>
      <c r="K135" s="128">
        <v>4.2013225998962511E-3</v>
      </c>
      <c r="Z135" s="1">
        <f t="shared" si="51"/>
        <v>40847</v>
      </c>
      <c r="AA135">
        <f t="shared" si="52"/>
        <v>210.69254532893609</v>
      </c>
      <c r="AB135">
        <f t="shared" si="53"/>
        <v>102.35215014183755</v>
      </c>
      <c r="AC135">
        <f t="shared" si="54"/>
        <v>356.54100000000045</v>
      </c>
      <c r="AD135">
        <f t="shared" si="55"/>
        <v>106.25800378244979</v>
      </c>
      <c r="AE135">
        <f t="shared" si="56"/>
        <v>149.63199999999992</v>
      </c>
      <c r="AF135">
        <f t="shared" si="57"/>
        <v>196.90435987357677</v>
      </c>
      <c r="AG135">
        <f t="shared" si="58"/>
        <v>192.33821398857694</v>
      </c>
      <c r="AH135">
        <f t="shared" si="59"/>
        <v>226.77014911657668</v>
      </c>
      <c r="AI135">
        <f t="shared" si="60"/>
        <v>177.43846897546035</v>
      </c>
    </row>
    <row r="136" spans="1:35" x14ac:dyDescent="0.2">
      <c r="A136">
        <f t="shared" si="40"/>
        <v>132</v>
      </c>
      <c r="B136" s="1">
        <v>40877</v>
      </c>
      <c r="C136">
        <v>-3.4387238070491377E-2</v>
      </c>
      <c r="D136" s="212">
        <v>-1.2824951353798242E-2</v>
      </c>
      <c r="E136" s="129">
        <v>-3.8520114096274982E-2</v>
      </c>
      <c r="F136" s="129">
        <v>2.6178846215241247E-2</v>
      </c>
      <c r="G136" s="129">
        <v>1.7195519674935822E-2</v>
      </c>
      <c r="H136" s="129">
        <v>-7.8717649904351816E-3</v>
      </c>
      <c r="I136" s="129">
        <v>1.7331881872076904E-2</v>
      </c>
      <c r="J136" s="128">
        <v>1.4529116484511828E-3</v>
      </c>
      <c r="K136" s="128">
        <v>3.9235024063035695E-3</v>
      </c>
      <c r="Z136" s="1">
        <f t="shared" si="51"/>
        <v>40877</v>
      </c>
      <c r="AA136">
        <f t="shared" si="52"/>
        <v>203.44741061303216</v>
      </c>
      <c r="AB136">
        <f t="shared" si="53"/>
        <v>101.03948879531184</v>
      </c>
      <c r="AC136">
        <f t="shared" si="54"/>
        <v>342.80700000000047</v>
      </c>
      <c r="AD136">
        <f t="shared" si="55"/>
        <v>109.03971572260906</v>
      </c>
      <c r="AE136">
        <f t="shared" si="56"/>
        <v>152.20499999999993</v>
      </c>
      <c r="AF136">
        <f t="shared" si="57"/>
        <v>195.35437502705989</v>
      </c>
      <c r="AG136">
        <f t="shared" si="58"/>
        <v>195.6717971929132</v>
      </c>
      <c r="AH136">
        <f t="shared" si="59"/>
        <v>227.09962610774917</v>
      </c>
      <c r="AI136">
        <f t="shared" si="60"/>
        <v>178.13464923545638</v>
      </c>
    </row>
    <row r="137" spans="1:35" x14ac:dyDescent="0.2">
      <c r="A137">
        <f t="shared" si="40"/>
        <v>133</v>
      </c>
      <c r="B137" s="1">
        <v>40907</v>
      </c>
      <c r="C137">
        <v>-1.4389530925894789E-2</v>
      </c>
      <c r="D137" s="212">
        <v>5.8682093728141815E-3</v>
      </c>
      <c r="E137" s="129">
        <v>-1.7794269078530434E-4</v>
      </c>
      <c r="F137" s="129">
        <v>-2.6047662010391104E-2</v>
      </c>
      <c r="G137" s="129">
        <v>2.8198810814362263E-2</v>
      </c>
      <c r="H137" s="129">
        <v>-2.1719376786860645E-3</v>
      </c>
      <c r="I137" s="129">
        <v>7.7936228168562494E-3</v>
      </c>
      <c r="J137" s="128">
        <v>2.0181852055108473E-2</v>
      </c>
      <c r="K137" s="128">
        <v>4.0321689794766691E-3</v>
      </c>
      <c r="Z137" s="1">
        <f t="shared" si="51"/>
        <v>40907</v>
      </c>
      <c r="AA137">
        <f t="shared" si="52"/>
        <v>200.51989780622273</v>
      </c>
      <c r="AB137">
        <f t="shared" si="53"/>
        <v>101.63240967048485</v>
      </c>
      <c r="AC137">
        <f t="shared" si="54"/>
        <v>342.74600000000044</v>
      </c>
      <c r="AD137">
        <f t="shared" si="55"/>
        <v>106.19948606175741</v>
      </c>
      <c r="AE137">
        <f t="shared" si="56"/>
        <v>156.49699999999993</v>
      </c>
      <c r="AF137">
        <f t="shared" si="57"/>
        <v>194.93007749924246</v>
      </c>
      <c r="AG137">
        <f t="shared" si="58"/>
        <v>197.19678937613116</v>
      </c>
      <c r="AH137">
        <f t="shared" si="59"/>
        <v>231.68291716362623</v>
      </c>
      <c r="AI137">
        <f t="shared" si="60"/>
        <v>178.85291824227355</v>
      </c>
    </row>
    <row r="138" spans="1:35" x14ac:dyDescent="0.2">
      <c r="A138">
        <f t="shared" si="40"/>
        <v>134</v>
      </c>
      <c r="B138" s="1">
        <v>40939</v>
      </c>
      <c r="C138">
        <v>5.131901281163298E-2</v>
      </c>
      <c r="D138" s="212">
        <v>4.3267798306066085E-2</v>
      </c>
      <c r="E138" s="129">
        <v>7.4162791104783299E-2</v>
      </c>
      <c r="F138" s="129">
        <v>5.6387404869712388E-2</v>
      </c>
      <c r="G138" s="129">
        <v>-8.3068685022713584E-4</v>
      </c>
      <c r="H138" s="129">
        <v>2.3365835239766319E-2</v>
      </c>
      <c r="I138" s="129">
        <v>1.3582219765722048E-3</v>
      </c>
      <c r="J138" s="128">
        <v>1.0721963146789415E-2</v>
      </c>
      <c r="K138" s="128">
        <v>3.8936384990015949E-3</v>
      </c>
      <c r="Z138" s="1">
        <f t="shared" si="51"/>
        <v>40939</v>
      </c>
      <c r="AA138">
        <f t="shared" si="52"/>
        <v>210.81038101072761</v>
      </c>
      <c r="AB138">
        <f t="shared" si="53"/>
        <v>106.02982027346687</v>
      </c>
      <c r="AC138">
        <f t="shared" si="54"/>
        <v>368.16500000000053</v>
      </c>
      <c r="AD138">
        <f t="shared" si="55"/>
        <v>112.1877994792771</v>
      </c>
      <c r="AE138">
        <f t="shared" si="56"/>
        <v>156.36699999999993</v>
      </c>
      <c r="AF138">
        <f t="shared" si="57"/>
        <v>199.48478157336464</v>
      </c>
      <c r="AG138">
        <f t="shared" si="58"/>
        <v>197.46462638917131</v>
      </c>
      <c r="AH138">
        <f t="shared" si="59"/>
        <v>234.16701286319528</v>
      </c>
      <c r="AI138">
        <f t="shared" si="60"/>
        <v>179.54930685040046</v>
      </c>
    </row>
    <row r="139" spans="1:35" x14ac:dyDescent="0.2">
      <c r="A139">
        <f t="shared" ref="A139:A202" si="61">A138+1</f>
        <v>135</v>
      </c>
      <c r="B139" s="1">
        <v>40968</v>
      </c>
      <c r="C139">
        <v>2.0354930580718023E-2</v>
      </c>
      <c r="D139" s="212">
        <v>4.7295408257730154E-2</v>
      </c>
      <c r="E139" s="129">
        <v>4.5316637920497449E-2</v>
      </c>
      <c r="F139" s="129">
        <v>2.2141755616703618E-2</v>
      </c>
      <c r="G139" s="129">
        <v>1.6857776896659793E-2</v>
      </c>
      <c r="H139" s="129">
        <v>1.6104177970700073E-2</v>
      </c>
      <c r="I139" s="129">
        <v>-2.1208137816377537E-3</v>
      </c>
      <c r="J139" s="128">
        <v>4.8158246501874835E-3</v>
      </c>
      <c r="K139" s="128">
        <v>3.3245425889256719E-3</v>
      </c>
      <c r="Z139" s="1">
        <f t="shared" si="51"/>
        <v>40968</v>
      </c>
      <c r="AA139">
        <f t="shared" si="52"/>
        <v>215.10141168189568</v>
      </c>
      <c r="AB139">
        <f t="shared" si="53"/>
        <v>111.04454391079423</v>
      </c>
      <c r="AC139">
        <f t="shared" si="54"/>
        <v>384.8490000000005</v>
      </c>
      <c r="AD139">
        <f t="shared" si="55"/>
        <v>114.67183431852301</v>
      </c>
      <c r="AE139">
        <f t="shared" si="56"/>
        <v>159.00299999999993</v>
      </c>
      <c r="AF139">
        <f t="shared" si="57"/>
        <v>202.69731999826834</v>
      </c>
      <c r="AG139">
        <f t="shared" si="58"/>
        <v>197.04584068813921</v>
      </c>
      <c r="AH139">
        <f t="shared" si="59"/>
        <v>235.29472013600264</v>
      </c>
      <c r="AI139">
        <f t="shared" si="60"/>
        <v>180.14622616783669</v>
      </c>
    </row>
    <row r="140" spans="1:35" x14ac:dyDescent="0.2">
      <c r="A140">
        <f t="shared" si="61"/>
        <v>136</v>
      </c>
      <c r="B140" s="1">
        <v>40998</v>
      </c>
      <c r="C140">
        <v>1.2174026864122389E-2</v>
      </c>
      <c r="D140" s="212">
        <v>1.7628571314920904E-2</v>
      </c>
      <c r="E140" s="129">
        <v>-1.4174390475225285E-2</v>
      </c>
      <c r="F140" s="129">
        <v>-5.8500292131674625E-3</v>
      </c>
      <c r="G140" s="129">
        <v>1.5182103482324294E-2</v>
      </c>
      <c r="H140" s="129">
        <v>4.9127453702713098E-4</v>
      </c>
      <c r="I140" s="129">
        <v>8.615123179815054E-3</v>
      </c>
      <c r="J140" s="128">
        <v>2.8233291607193678E-4</v>
      </c>
      <c r="K140" s="128">
        <v>3.9046104233182444E-3</v>
      </c>
      <c r="Z140" s="1">
        <f t="shared" si="51"/>
        <v>40998</v>
      </c>
      <c r="AA140">
        <f t="shared" si="52"/>
        <v>217.72006204622173</v>
      </c>
      <c r="AB140">
        <f t="shared" si="53"/>
        <v>113.00210057225853</v>
      </c>
      <c r="AC140">
        <f t="shared" si="54"/>
        <v>379.39400000000052</v>
      </c>
      <c r="AD140">
        <f t="shared" si="55"/>
        <v>114.00100073783216</v>
      </c>
      <c r="AE140">
        <f t="shared" si="56"/>
        <v>161.41699999999994</v>
      </c>
      <c r="AF140">
        <f t="shared" si="57"/>
        <v>202.79690003030714</v>
      </c>
      <c r="AG140">
        <f t="shared" si="58"/>
        <v>198.74341487773773</v>
      </c>
      <c r="AH140">
        <f t="shared" si="59"/>
        <v>235.36115158047497</v>
      </c>
      <c r="AI140">
        <f t="shared" si="60"/>
        <v>180.84962700025307</v>
      </c>
    </row>
    <row r="141" spans="1:35" x14ac:dyDescent="0.2">
      <c r="A141">
        <f t="shared" si="61"/>
        <v>137</v>
      </c>
      <c r="B141" s="1">
        <v>41029</v>
      </c>
      <c r="C141">
        <v>1.303132463181389E-2</v>
      </c>
      <c r="D141" s="212">
        <v>-1.5327933608488165E-2</v>
      </c>
      <c r="E141" s="129">
        <v>-5.7064687369858813E-3</v>
      </c>
      <c r="F141" s="129">
        <v>5.608456949011309E-2</v>
      </c>
      <c r="G141" s="129">
        <v>1.9471307235297219E-2</v>
      </c>
      <c r="H141" s="129">
        <v>-3.8428693424408245E-4</v>
      </c>
      <c r="I141" s="129">
        <v>1.5939928296352157E-2</v>
      </c>
      <c r="J141" s="128">
        <v>9.4595501436685048E-3</v>
      </c>
      <c r="K141" s="128">
        <v>3.7831027821750851E-3</v>
      </c>
      <c r="Z141" s="1">
        <f t="shared" si="51"/>
        <v>41029</v>
      </c>
      <c r="AA141">
        <f t="shared" si="52"/>
        <v>220.55724285360469</v>
      </c>
      <c r="AB141">
        <f t="shared" si="53"/>
        <v>111.27001187706725</v>
      </c>
      <c r="AC141">
        <f t="shared" si="54"/>
        <v>377.2290000000005</v>
      </c>
      <c r="AD141">
        <f t="shared" si="55"/>
        <v>120.39469778565554</v>
      </c>
      <c r="AE141">
        <f t="shared" si="56"/>
        <v>164.55999999999992</v>
      </c>
      <c r="AF141">
        <f t="shared" si="57"/>
        <v>202.7189678313203</v>
      </c>
      <c r="AG141">
        <f t="shared" si="58"/>
        <v>201.91137066026104</v>
      </c>
      <c r="AH141">
        <f t="shared" si="59"/>
        <v>237.58756219572203</v>
      </c>
      <c r="AI141">
        <f t="shared" si="60"/>
        <v>181.53379972731304</v>
      </c>
    </row>
    <row r="142" spans="1:35" x14ac:dyDescent="0.2">
      <c r="A142">
        <f t="shared" si="61"/>
        <v>138</v>
      </c>
      <c r="B142" s="1">
        <v>41060</v>
      </c>
      <c r="C142">
        <v>-6.7373639888679393E-2</v>
      </c>
      <c r="D142" s="212">
        <v>-6.7649065729933899E-2</v>
      </c>
      <c r="E142" s="129">
        <v>-6.7128985311309508E-2</v>
      </c>
      <c r="F142" s="129">
        <v>-1.3003571403413461E-2</v>
      </c>
      <c r="G142" s="129">
        <v>-2.0381623723869646E-2</v>
      </c>
      <c r="H142" s="129">
        <v>-1.3305710990559994E-2</v>
      </c>
      <c r="I142" s="129">
        <v>3.0965636149222764E-2</v>
      </c>
      <c r="J142" s="128">
        <v>1.8362688171523089E-2</v>
      </c>
      <c r="K142" s="128">
        <v>3.8096990894722627E-3</v>
      </c>
      <c r="Z142" s="1">
        <f t="shared" si="51"/>
        <v>41060</v>
      </c>
      <c r="AA142">
        <f t="shared" si="52"/>
        <v>205.69749859874591</v>
      </c>
      <c r="AB142">
        <f t="shared" si="53"/>
        <v>103.742699529825</v>
      </c>
      <c r="AC142">
        <f t="shared" si="54"/>
        <v>351.90600000000046</v>
      </c>
      <c r="AD142">
        <f t="shared" si="55"/>
        <v>118.82913673640738</v>
      </c>
      <c r="AE142">
        <f t="shared" si="56"/>
        <v>161.20599999999993</v>
      </c>
      <c r="AF142">
        <f t="shared" si="57"/>
        <v>200.02164783305213</v>
      </c>
      <c r="AG142">
        <f t="shared" si="58"/>
        <v>208.16368469851753</v>
      </c>
      <c r="AH142">
        <f t="shared" si="59"/>
        <v>241.95030851375441</v>
      </c>
      <c r="AI142">
        <f t="shared" si="60"/>
        <v>182.22538887884264</v>
      </c>
    </row>
    <row r="143" spans="1:35" x14ac:dyDescent="0.2">
      <c r="A143">
        <f t="shared" si="61"/>
        <v>139</v>
      </c>
      <c r="B143" s="1">
        <v>41089</v>
      </c>
      <c r="C143">
        <v>5.3553453171144572E-3</v>
      </c>
      <c r="D143" s="212">
        <v>4.2831413961308407E-2</v>
      </c>
      <c r="E143" s="129">
        <v>2.1423334640500613E-2</v>
      </c>
      <c r="F143" s="129">
        <v>4.1965528316026068E-2</v>
      </c>
      <c r="G143" s="129">
        <v>4.0017120950833096E-2</v>
      </c>
      <c r="H143" s="129">
        <v>-4.0044156799931008E-3</v>
      </c>
      <c r="I143" s="129">
        <v>-1.6304790593391072E-3</v>
      </c>
      <c r="J143" s="128">
        <v>-5.3132965741298221E-4</v>
      </c>
      <c r="K143" s="128">
        <v>2.837831051991202E-3</v>
      </c>
      <c r="Z143" s="1">
        <f t="shared" si="51"/>
        <v>41089</v>
      </c>
      <c r="AA143">
        <f t="shared" si="52"/>
        <v>206.79907973460885</v>
      </c>
      <c r="AB143">
        <f t="shared" si="53"/>
        <v>108.18614603885057</v>
      </c>
      <c r="AC143">
        <f t="shared" si="54"/>
        <v>359.4450000000005</v>
      </c>
      <c r="AD143">
        <f t="shared" si="55"/>
        <v>123.81586423888801</v>
      </c>
      <c r="AE143">
        <f t="shared" si="56"/>
        <v>167.65699999999993</v>
      </c>
      <c r="AF143">
        <f t="shared" si="57"/>
        <v>199.22067801013139</v>
      </c>
      <c r="AG143">
        <f t="shared" si="58"/>
        <v>207.82427816970173</v>
      </c>
      <c r="AH143">
        <f t="shared" si="59"/>
        <v>241.82175313922082</v>
      </c>
      <c r="AI143">
        <f t="shared" si="60"/>
        <v>182.74251374586419</v>
      </c>
    </row>
    <row r="144" spans="1:35" x14ac:dyDescent="0.2">
      <c r="A144">
        <f t="shared" si="61"/>
        <v>140</v>
      </c>
      <c r="B144" s="1">
        <v>41121</v>
      </c>
      <c r="C144">
        <v>4.1993368423142607E-2</v>
      </c>
      <c r="D144" s="212">
        <v>1.3468908551146574E-2</v>
      </c>
      <c r="E144" s="129">
        <v>1.7535367024162252E-2</v>
      </c>
      <c r="F144" s="129">
        <v>5.4899140381519773E-2</v>
      </c>
      <c r="G144" s="129">
        <v>1.4815963544617894E-2</v>
      </c>
      <c r="H144" s="129">
        <v>1.4213065588733809E-2</v>
      </c>
      <c r="I144" s="129">
        <v>3.7157131754146366E-3</v>
      </c>
      <c r="J144" s="128">
        <v>1.3547202643573009E-2</v>
      </c>
      <c r="K144" s="128">
        <v>2.9248972267941209E-3</v>
      </c>
      <c r="Z144" s="1">
        <f t="shared" si="51"/>
        <v>41121</v>
      </c>
      <c r="AA144">
        <f t="shared" si="52"/>
        <v>215.48326967947114</v>
      </c>
      <c r="AB144">
        <f t="shared" si="53"/>
        <v>109.64329534634884</v>
      </c>
      <c r="AC144">
        <f t="shared" si="54"/>
        <v>365.7480000000005</v>
      </c>
      <c r="AD144">
        <f t="shared" si="55"/>
        <v>130.61324875119791</v>
      </c>
      <c r="AE144">
        <f t="shared" si="56"/>
        <v>170.14099999999993</v>
      </c>
      <c r="AF144">
        <f t="shared" si="57"/>
        <v>202.05221457332141</v>
      </c>
      <c r="AG144">
        <f t="shared" si="58"/>
        <v>208.59649357826794</v>
      </c>
      <c r="AH144">
        <f t="shared" si="59"/>
        <v>245.09776143262192</v>
      </c>
      <c r="AI144">
        <f t="shared" si="60"/>
        <v>183.27701681753686</v>
      </c>
    </row>
    <row r="145" spans="1:43" x14ac:dyDescent="0.2">
      <c r="A145">
        <f t="shared" si="61"/>
        <v>141</v>
      </c>
      <c r="B145" s="1">
        <v>41152</v>
      </c>
      <c r="C145">
        <v>2.136894834806613E-2</v>
      </c>
      <c r="D145" s="212">
        <v>2.0029757934777903E-2</v>
      </c>
      <c r="E145">
        <v>-1.8619377276156701E-3</v>
      </c>
      <c r="F145">
        <v>-2.5972339458446569E-5</v>
      </c>
      <c r="G145">
        <v>-8.2049594160138462E-3</v>
      </c>
      <c r="H145">
        <v>8.3997600068570488E-3</v>
      </c>
      <c r="I145">
        <v>6.2755514746068997E-3</v>
      </c>
      <c r="J145">
        <v>3.8281555726180638E-3</v>
      </c>
      <c r="K145">
        <v>2.9911464026957102E-3</v>
      </c>
      <c r="Z145" s="1">
        <f t="shared" si="51"/>
        <v>41152</v>
      </c>
      <c r="AA145">
        <f t="shared" si="52"/>
        <v>220.08792053912416</v>
      </c>
      <c r="AB145">
        <f t="shared" si="53"/>
        <v>111.83942401130756</v>
      </c>
      <c r="AC145">
        <f t="shared" si="54"/>
        <v>365.06700000000052</v>
      </c>
      <c r="AD145">
        <f t="shared" si="55"/>
        <v>130.60985641956358</v>
      </c>
      <c r="AE145">
        <f t="shared" si="56"/>
        <v>168.74499999999992</v>
      </c>
      <c r="AF145">
        <f t="shared" si="57"/>
        <v>203.7494046845913</v>
      </c>
      <c r="AG145">
        <f t="shared" si="58"/>
        <v>209.90555161114088</v>
      </c>
      <c r="AH145">
        <f t="shared" si="59"/>
        <v>246.03603379388642</v>
      </c>
      <c r="AI145">
        <f t="shared" si="60"/>
        <v>183.82522520708744</v>
      </c>
    </row>
    <row r="146" spans="1:43" x14ac:dyDescent="0.2">
      <c r="A146">
        <f t="shared" si="61"/>
        <v>142</v>
      </c>
      <c r="B146" s="1">
        <v>41180</v>
      </c>
      <c r="C146">
        <v>2.1814109225125833E-2</v>
      </c>
      <c r="D146" s="212">
        <v>2.1495778649299302E-2</v>
      </c>
      <c r="E146">
        <v>4.2742838985720288E-2</v>
      </c>
      <c r="F146">
        <v>1.1356700388296614E-2</v>
      </c>
      <c r="G146">
        <v>1.2029986073661458E-2</v>
      </c>
      <c r="H146">
        <v>1.0412239694007619E-2</v>
      </c>
      <c r="I146">
        <v>9.7300722059701084E-3</v>
      </c>
      <c r="J146">
        <v>5.778693882124486E-3</v>
      </c>
      <c r="K146">
        <v>3.1321020565449054E-3</v>
      </c>
      <c r="Z146" s="1">
        <f t="shared" si="51"/>
        <v>41180</v>
      </c>
      <c r="AA146">
        <f t="shared" si="52"/>
        <v>224.88894247689544</v>
      </c>
      <c r="AB146">
        <f t="shared" si="53"/>
        <v>114.24349951411975</v>
      </c>
      <c r="AC146">
        <f t="shared" si="54"/>
        <v>380.6710000000005</v>
      </c>
      <c r="AD146">
        <f t="shared" si="55"/>
        <v>132.09315342667901</v>
      </c>
      <c r="AE146">
        <f t="shared" si="56"/>
        <v>170.77499999999992</v>
      </c>
      <c r="AF146">
        <f t="shared" si="57"/>
        <v>205.87089232367862</v>
      </c>
      <c r="AG146">
        <f t="shared" si="58"/>
        <v>211.94794778475128</v>
      </c>
      <c r="AH146">
        <f t="shared" si="59"/>
        <v>247.45780071715333</v>
      </c>
      <c r="AI146">
        <f t="shared" si="60"/>
        <v>184.4009845730034</v>
      </c>
    </row>
    <row r="147" spans="1:43" x14ac:dyDescent="0.2">
      <c r="A147">
        <f t="shared" si="61"/>
        <v>143</v>
      </c>
      <c r="B147" s="1">
        <v>41213</v>
      </c>
      <c r="C147">
        <v>2.9183660280168944E-2</v>
      </c>
      <c r="D147" s="212">
        <v>-4.6125948713718889E-3</v>
      </c>
      <c r="E147">
        <v>-2.6243133834727983E-3</v>
      </c>
      <c r="F147">
        <v>5.2666046033835068E-2</v>
      </c>
      <c r="G147">
        <v>1.855072463768126E-2</v>
      </c>
      <c r="H147">
        <v>-1.7875920084122754E-3</v>
      </c>
      <c r="I147">
        <v>1.8154567991879311E-4</v>
      </c>
      <c r="J147">
        <v>3.8001560446814242E-3</v>
      </c>
      <c r="K147">
        <v>2.9658018521994123E-3</v>
      </c>
      <c r="Z147" s="1">
        <f t="shared" si="51"/>
        <v>41213</v>
      </c>
      <c r="AA147">
        <f t="shared" si="52"/>
        <v>231.4520249749076</v>
      </c>
      <c r="AB147">
        <f t="shared" si="53"/>
        <v>113.71654053417335</v>
      </c>
      <c r="AC147">
        <f t="shared" si="54"/>
        <v>379.67200000000054</v>
      </c>
      <c r="AD147">
        <f t="shared" si="55"/>
        <v>139.04997752580292</v>
      </c>
      <c r="AE147">
        <f t="shared" si="56"/>
        <v>173.94299999999993</v>
      </c>
      <c r="AF147">
        <f t="shared" si="57"/>
        <v>205.5028791617961</v>
      </c>
      <c r="AG147">
        <f t="shared" si="58"/>
        <v>211.98642601903924</v>
      </c>
      <c r="AH147">
        <f t="shared" si="59"/>
        <v>248.39817897435219</v>
      </c>
      <c r="AI147">
        <f t="shared" si="60"/>
        <v>184.9478813545974</v>
      </c>
    </row>
    <row r="148" spans="1:43" x14ac:dyDescent="0.2">
      <c r="A148">
        <f t="shared" si="61"/>
        <v>144</v>
      </c>
      <c r="B148" s="1">
        <v>41243</v>
      </c>
      <c r="C148">
        <v>3.9177632959108699E-3</v>
      </c>
      <c r="D148" s="212">
        <v>1.4697326738655647E-2</v>
      </c>
      <c r="E148">
        <v>1.6055964095324171E-2</v>
      </c>
      <c r="F148">
        <v>-1.3899901194208253E-2</v>
      </c>
      <c r="G148">
        <v>-6.1341933851893904E-3</v>
      </c>
      <c r="H148">
        <v>6.4257874223112577E-3</v>
      </c>
      <c r="I148">
        <v>7.771433795933369E-5</v>
      </c>
      <c r="J148">
        <v>9.2648077192087896E-3</v>
      </c>
      <c r="K148">
        <v>2.5433677821962153E-3</v>
      </c>
      <c r="Z148" s="1">
        <f t="shared" si="51"/>
        <v>41243</v>
      </c>
      <c r="AA148">
        <f t="shared" si="52"/>
        <v>232.35879922311855</v>
      </c>
      <c r="AB148">
        <f t="shared" si="53"/>
        <v>115.38786968599368</v>
      </c>
      <c r="AC148">
        <f t="shared" si="54"/>
        <v>385.76800000000048</v>
      </c>
      <c r="AD148">
        <f t="shared" si="55"/>
        <v>137.11719657713738</v>
      </c>
      <c r="AE148">
        <f t="shared" si="56"/>
        <v>172.87599999999992</v>
      </c>
      <c r="AF148">
        <f t="shared" si="57"/>
        <v>206.82339697796272</v>
      </c>
      <c r="AG148">
        <f t="shared" si="58"/>
        <v>212.00290040379369</v>
      </c>
      <c r="AH148">
        <f t="shared" si="59"/>
        <v>250.69954034035118</v>
      </c>
      <c r="AI148">
        <f t="shared" si="60"/>
        <v>185.41827183742012</v>
      </c>
    </row>
    <row r="149" spans="1:43" x14ac:dyDescent="0.2">
      <c r="A149">
        <f t="shared" si="61"/>
        <v>145</v>
      </c>
      <c r="B149" s="1">
        <v>41274</v>
      </c>
      <c r="C149">
        <v>3.3331052004754946E-2</v>
      </c>
      <c r="D149" s="212">
        <v>1.9128279245995472E-2</v>
      </c>
      <c r="E149">
        <v>3.9404512556769911E-2</v>
      </c>
      <c r="F149">
        <v>2.3565212550795245E-2</v>
      </c>
      <c r="G149">
        <v>2.1258011522709896E-2</v>
      </c>
      <c r="H149">
        <v>1.4821017374921475E-2</v>
      </c>
      <c r="I149">
        <v>1.8191539663565681E-3</v>
      </c>
      <c r="J149">
        <v>2.1851659951057645E-3</v>
      </c>
      <c r="K149">
        <v>2.8751543666376556E-3</v>
      </c>
      <c r="Z149" s="1">
        <f t="shared" si="51"/>
        <v>41274</v>
      </c>
      <c r="AA149">
        <f t="shared" si="52"/>
        <v>240.10356244378673</v>
      </c>
      <c r="AB149">
        <f t="shared" si="53"/>
        <v>117.5950410789479</v>
      </c>
      <c r="AC149">
        <f t="shared" si="54"/>
        <v>400.96900000000051</v>
      </c>
      <c r="AD149">
        <f t="shared" si="55"/>
        <v>140.3483924588468</v>
      </c>
      <c r="AE149">
        <f t="shared" si="56"/>
        <v>176.5509999999999</v>
      </c>
      <c r="AF149">
        <f t="shared" si="57"/>
        <v>209.88873013811337</v>
      </c>
      <c r="AG149">
        <f t="shared" si="58"/>
        <v>212.38856632094235</v>
      </c>
      <c r="AH149">
        <f t="shared" si="59"/>
        <v>251.24736045089156</v>
      </c>
      <c r="AI149">
        <f t="shared" si="60"/>
        <v>185.9513779913479</v>
      </c>
    </row>
    <row r="150" spans="1:43" x14ac:dyDescent="0.2">
      <c r="A150">
        <f t="shared" si="61"/>
        <v>146</v>
      </c>
      <c r="B150" s="1">
        <v>41305</v>
      </c>
      <c r="C150">
        <v>4.9797435128345224E-2</v>
      </c>
      <c r="D150" s="212">
        <v>5.3730187149996445E-2</v>
      </c>
      <c r="E150" s="129">
        <v>1.3809047582231893E-2</v>
      </c>
      <c r="F150" s="129">
        <v>4.4836816948558456E-2</v>
      </c>
      <c r="G150" s="129">
        <v>4.8195705490198248E-2</v>
      </c>
      <c r="H150" s="129">
        <v>2.0669169520194819E-2</v>
      </c>
      <c r="I150" s="129">
        <v>-2.2589767250111858E-3</v>
      </c>
      <c r="J150" s="128">
        <v>-2.2722198643221336E-3</v>
      </c>
      <c r="K150" s="128">
        <v>2.684354114091958E-3</v>
      </c>
      <c r="Z150" s="1">
        <f t="shared" ref="Z150:Z213" si="62">B150</f>
        <v>41305</v>
      </c>
      <c r="AA150">
        <f t="shared" ref="AA150:AA213" si="63">IF($Z150&lt;$B$1,100,AA149*(1+C150))</f>
        <v>252.06010401866578</v>
      </c>
      <c r="AB150">
        <f t="shared" ref="AB150:AB213" si="64">IF($Z150&lt;$B$1,100,AB149*(1+D150))</f>
        <v>123.91344464403129</v>
      </c>
      <c r="AC150">
        <f t="shared" ref="AC150:AC213" si="65">IF($Z150&lt;$B$1,100,AC149*(1+E150))</f>
        <v>406.50600000000043</v>
      </c>
      <c r="AD150">
        <f t="shared" ref="AD150:AD213" si="66">IF($Z150&lt;$B$1,100,AD149*(1+F150))</f>
        <v>146.64116764054856</v>
      </c>
      <c r="AE150">
        <f t="shared" ref="AE150:AE213" si="67">IF($Z150&lt;$B$1,100,AE149*(1+G150))</f>
        <v>185.05999999999989</v>
      </c>
      <c r="AF150">
        <f t="shared" ref="AF150:AF213" si="68">IF($Z150&lt;$B$1,100,AF149*(1+H150))</f>
        <v>214.22695588171646</v>
      </c>
      <c r="AG150">
        <f t="shared" ref="AG150:AG213" si="69">IF($Z150&lt;$B$1,100,AG149*(1+I150))</f>
        <v>211.90878549296485</v>
      </c>
      <c r="AH150">
        <f t="shared" ref="AH150:AH213" si="70">IF($Z150&lt;$B$1,100,AH149*(1+J150))</f>
        <v>250.67647120761654</v>
      </c>
      <c r="AI150">
        <f t="shared" ref="AI150:AI213" si="71">IF($Z150&lt;$B$1,100,AI149*(1+K150))</f>
        <v>186.45053733788004</v>
      </c>
    </row>
    <row r="151" spans="1:43" x14ac:dyDescent="0.2">
      <c r="A151">
        <f t="shared" si="61"/>
        <v>147</v>
      </c>
      <c r="B151" s="1">
        <v>41333</v>
      </c>
      <c r="C151">
        <v>5.2915622376346061E-2</v>
      </c>
      <c r="D151" s="212">
        <v>1.4745012052506556E-2</v>
      </c>
      <c r="E151">
        <v>-9.7513935833665188E-3</v>
      </c>
      <c r="F151">
        <v>3.4549965588835718E-2</v>
      </c>
      <c r="G151">
        <v>3.5199394790878635E-2</v>
      </c>
      <c r="H151">
        <v>2.3848019401777609E-3</v>
      </c>
      <c r="I151">
        <v>5.9419449502884358E-3</v>
      </c>
      <c r="J151">
        <v>7.9040561604593051E-3</v>
      </c>
      <c r="K151">
        <v>2.2456536231809654E-3</v>
      </c>
      <c r="Z151" s="1">
        <f t="shared" si="62"/>
        <v>41333</v>
      </c>
      <c r="AA151">
        <f t="shared" si="63"/>
        <v>265.39802129906002</v>
      </c>
      <c r="AB151">
        <f t="shared" si="64"/>
        <v>125.74054987877513</v>
      </c>
      <c r="AC151">
        <f t="shared" si="65"/>
        <v>402.54200000000043</v>
      </c>
      <c r="AD151">
        <f t="shared" si="66"/>
        <v>151.70761493643622</v>
      </c>
      <c r="AE151">
        <f t="shared" si="67"/>
        <v>191.5739999999999</v>
      </c>
      <c r="AF151">
        <f t="shared" si="68"/>
        <v>214.73784474174155</v>
      </c>
      <c r="AG151">
        <f t="shared" si="69"/>
        <v>213.16793583084652</v>
      </c>
      <c r="AH151">
        <f t="shared" si="70"/>
        <v>252.65783211414731</v>
      </c>
      <c r="AI151">
        <f t="shared" si="71"/>
        <v>186.86924066259689</v>
      </c>
    </row>
    <row r="152" spans="1:43" x14ac:dyDescent="0.2">
      <c r="A152">
        <f t="shared" si="61"/>
        <v>148</v>
      </c>
      <c r="B152" s="1">
        <v>41362</v>
      </c>
      <c r="C152">
        <v>-2.2538203800095635E-2</v>
      </c>
      <c r="D152" s="212">
        <v>2.6757074707632222E-2</v>
      </c>
      <c r="E152">
        <v>-8.8264081760413005E-3</v>
      </c>
      <c r="F152">
        <v>-2.8566157767926481E-2</v>
      </c>
      <c r="G152">
        <v>4.5047866620731458E-2</v>
      </c>
      <c r="H152">
        <v>1.2117424089681084E-2</v>
      </c>
      <c r="I152">
        <v>-2.0274241778389657E-3</v>
      </c>
      <c r="J152">
        <v>9.552635537061871E-3</v>
      </c>
      <c r="K152">
        <v>2.4631433027595406E-3</v>
      </c>
      <c r="Z152" s="1">
        <f t="shared" si="62"/>
        <v>41362</v>
      </c>
      <c r="AA152">
        <f t="shared" si="63"/>
        <v>259.41642660687967</v>
      </c>
      <c r="AB152">
        <f t="shared" si="64"/>
        <v>129.10499916566027</v>
      </c>
      <c r="AC152">
        <f t="shared" si="65"/>
        <v>398.98900000000043</v>
      </c>
      <c r="AD152">
        <f t="shared" si="66"/>
        <v>147.37391127356614</v>
      </c>
      <c r="AE152">
        <f t="shared" si="67"/>
        <v>200.20399999999989</v>
      </c>
      <c r="AF152">
        <f t="shared" si="68"/>
        <v>217.33991427458133</v>
      </c>
      <c r="AG152">
        <f t="shared" si="69"/>
        <v>212.73575400380304</v>
      </c>
      <c r="AH152">
        <f t="shared" si="70"/>
        <v>255.07138029991793</v>
      </c>
      <c r="AI152">
        <f t="shared" si="71"/>
        <v>187.32952638122674</v>
      </c>
    </row>
    <row r="153" spans="1:43" x14ac:dyDescent="0.2">
      <c r="A153">
        <f t="shared" si="61"/>
        <v>149</v>
      </c>
      <c r="B153" s="1">
        <v>41394</v>
      </c>
      <c r="C153">
        <v>4.296402559586765E-2</v>
      </c>
      <c r="D153" s="212">
        <v>2.7868907299797963E-2</v>
      </c>
      <c r="E153">
        <v>-8.7471083162693475E-4</v>
      </c>
      <c r="F153">
        <v>8.2688334781582995E-2</v>
      </c>
      <c r="G153">
        <v>5.5848035004295582E-2</v>
      </c>
      <c r="H153">
        <v>1.3864818024263315E-2</v>
      </c>
      <c r="I153">
        <v>1.5420594242733454E-2</v>
      </c>
      <c r="J153">
        <v>1.2512876708216325E-2</v>
      </c>
      <c r="K153">
        <v>2.613846085931737E-3</v>
      </c>
      <c r="Z153" s="1">
        <f t="shared" si="62"/>
        <v>41394</v>
      </c>
      <c r="AA153">
        <f t="shared" si="63"/>
        <v>270.56200059960616</v>
      </c>
      <c r="AB153">
        <f t="shared" si="64"/>
        <v>132.70301441934856</v>
      </c>
      <c r="AC153">
        <f t="shared" si="65"/>
        <v>398.64000000000044</v>
      </c>
      <c r="AD153">
        <f t="shared" si="66"/>
        <v>159.56001458702607</v>
      </c>
      <c r="AE153">
        <f t="shared" si="67"/>
        <v>211.38499999999988</v>
      </c>
      <c r="AF153">
        <f t="shared" si="68"/>
        <v>220.3532926354074</v>
      </c>
      <c r="AG153">
        <f t="shared" si="69"/>
        <v>216.01626574721763</v>
      </c>
      <c r="AH153">
        <f t="shared" si="70"/>
        <v>258.26305703340535</v>
      </c>
      <c r="AI153">
        <f t="shared" si="71"/>
        <v>187.81917693053776</v>
      </c>
    </row>
    <row r="154" spans="1:43" x14ac:dyDescent="0.2">
      <c r="A154">
        <f t="shared" si="61"/>
        <v>150</v>
      </c>
      <c r="B154" s="1">
        <v>41425</v>
      </c>
      <c r="C154">
        <v>-4.5376180853367698E-2</v>
      </c>
      <c r="D154" s="212">
        <v>1.43704761718082E-2</v>
      </c>
      <c r="E154">
        <v>7.9620710415413409E-3</v>
      </c>
      <c r="F154">
        <v>-3.6589384613749276E-2</v>
      </c>
      <c r="G154">
        <v>-3.794025120041622E-2</v>
      </c>
      <c r="H154">
        <v>4.1850869437076721E-3</v>
      </c>
      <c r="I154">
        <v>-7.4509680254908339E-4</v>
      </c>
      <c r="J154">
        <v>-1.3743320145972793E-2</v>
      </c>
      <c r="K154">
        <v>2.5687448045226269E-3</v>
      </c>
      <c r="Z154" s="1">
        <f t="shared" si="62"/>
        <v>41425</v>
      </c>
      <c r="AA154">
        <f t="shared" si="63"/>
        <v>258.28493032834945</v>
      </c>
      <c r="AB154">
        <f t="shared" si="64"/>
        <v>134.61001992598892</v>
      </c>
      <c r="AC154">
        <f t="shared" si="65"/>
        <v>401.81400000000048</v>
      </c>
      <c r="AD154">
        <f t="shared" si="66"/>
        <v>153.72181184432594</v>
      </c>
      <c r="AE154">
        <f t="shared" si="67"/>
        <v>203.3649999999999</v>
      </c>
      <c r="AF154">
        <f t="shared" si="68"/>
        <v>221.27549032341884</v>
      </c>
      <c r="AG154">
        <f t="shared" si="69"/>
        <v>215.85531271831078</v>
      </c>
      <c r="AH154">
        <f t="shared" si="70"/>
        <v>254.71366515871762</v>
      </c>
      <c r="AI154">
        <f t="shared" si="71"/>
        <v>188.30163646546779</v>
      </c>
    </row>
    <row r="155" spans="1:43" x14ac:dyDescent="0.2">
      <c r="A155">
        <f t="shared" si="61"/>
        <v>151</v>
      </c>
      <c r="B155" s="1">
        <v>41453</v>
      </c>
      <c r="C155">
        <v>-2.402844937722215E-2</v>
      </c>
      <c r="D155" s="212">
        <v>-2.4187917671898873E-2</v>
      </c>
      <c r="E155">
        <v>-5.0926548104346825E-2</v>
      </c>
      <c r="F155">
        <v>-9.0920124904831923E-3</v>
      </c>
      <c r="G155">
        <v>-5.5860152927004192E-3</v>
      </c>
      <c r="H155">
        <v>-1.6553181498004221E-2</v>
      </c>
      <c r="I155">
        <v>-1.0463297449940123E-2</v>
      </c>
      <c r="J155">
        <v>-8.7938253816857159E-3</v>
      </c>
      <c r="K155">
        <v>2.299354248551877E-3</v>
      </c>
      <c r="Z155" s="1">
        <f t="shared" si="62"/>
        <v>41453</v>
      </c>
      <c r="AA155">
        <f t="shared" si="63"/>
        <v>252.07874395505536</v>
      </c>
      <c r="AB155">
        <f t="shared" si="64"/>
        <v>131.35408384620644</v>
      </c>
      <c r="AC155">
        <f t="shared" si="65"/>
        <v>381.35100000000045</v>
      </c>
      <c r="AD155">
        <f t="shared" si="66"/>
        <v>152.32417121097762</v>
      </c>
      <c r="AE155">
        <f t="shared" si="67"/>
        <v>202.22899999999987</v>
      </c>
      <c r="AF155">
        <f t="shared" si="68"/>
        <v>217.6126769710354</v>
      </c>
      <c r="AG155">
        <f t="shared" si="69"/>
        <v>213.59675437518925</v>
      </c>
      <c r="AH155">
        <f t="shared" si="70"/>
        <v>252.47375766498268</v>
      </c>
      <c r="AI155">
        <f t="shared" si="71"/>
        <v>188.73460863328393</v>
      </c>
      <c r="AK155">
        <f t="shared" ref="AK155:AK173" si="72">AA155/AA154-1</f>
        <v>-2.402844937722215E-2</v>
      </c>
      <c r="AL155">
        <f>Z155-AM155</f>
        <v>-3504</v>
      </c>
      <c r="AM155" s="1">
        <v>44957</v>
      </c>
      <c r="AN155">
        <v>6.2874226598363281E-2</v>
      </c>
      <c r="AO155" s="128">
        <v>2.6583471133789782E-3</v>
      </c>
      <c r="AP155">
        <f>AN155-AK155</f>
        <v>8.6902675975585431E-2</v>
      </c>
      <c r="AQ155">
        <f>AI155/AI154-1-AO155</f>
        <v>-3.5899286482710124E-4</v>
      </c>
    </row>
    <row r="156" spans="1:43" x14ac:dyDescent="0.2">
      <c r="A156">
        <f t="shared" si="61"/>
        <v>152</v>
      </c>
      <c r="B156" s="1">
        <v>41486</v>
      </c>
      <c r="C156">
        <v>5.2970141516568425E-2</v>
      </c>
      <c r="D156" s="212">
        <v>4.7328268803673135E-2</v>
      </c>
      <c r="E156">
        <v>1.4569255095699285E-2</v>
      </c>
      <c r="F156">
        <v>-8.2901842881798471E-3</v>
      </c>
      <c r="G156">
        <v>3.214177986342226E-2</v>
      </c>
      <c r="H156">
        <v>8.8138156062234074E-3</v>
      </c>
      <c r="I156">
        <v>8.554985306231222E-3</v>
      </c>
      <c r="J156">
        <v>5.4956137457451426E-3</v>
      </c>
      <c r="K156">
        <v>2.5316032037259184E-3</v>
      </c>
      <c r="Z156" s="1">
        <f t="shared" si="62"/>
        <v>41486</v>
      </c>
      <c r="AA156">
        <f t="shared" si="63"/>
        <v>265.43139069567349</v>
      </c>
      <c r="AB156">
        <f t="shared" si="64"/>
        <v>137.57084523493992</v>
      </c>
      <c r="AC156">
        <f t="shared" si="65"/>
        <v>386.90700000000049</v>
      </c>
      <c r="AD156">
        <f t="shared" si="66"/>
        <v>151.06137576009436</v>
      </c>
      <c r="AE156">
        <f t="shared" si="67"/>
        <v>208.7289999999999</v>
      </c>
      <c r="AF156">
        <f t="shared" si="68"/>
        <v>219.53067497943476</v>
      </c>
      <c r="AG156">
        <f t="shared" si="69"/>
        <v>215.42407147032768</v>
      </c>
      <c r="AH156">
        <f t="shared" si="70"/>
        <v>253.86125591804628</v>
      </c>
      <c r="AI156">
        <f t="shared" si="71"/>
        <v>189.21240977315389</v>
      </c>
      <c r="AK156">
        <f t="shared" si="72"/>
        <v>5.2970141516568425E-2</v>
      </c>
      <c r="AL156">
        <f t="shared" ref="AL156:AL167" si="73">Z156-AM156</f>
        <v>-3499</v>
      </c>
      <c r="AM156" s="1">
        <v>44985</v>
      </c>
      <c r="AN156">
        <v>-2.5489362153981454E-2</v>
      </c>
      <c r="AO156" s="128">
        <v>2.4019062565627802E-3</v>
      </c>
      <c r="AP156">
        <f t="shared" ref="AP156:AP167" si="74">AN156-AK156</f>
        <v>-7.8459503670549879E-2</v>
      </c>
      <c r="AQ156">
        <f t="shared" ref="AQ156:AQ167" si="75">AI156/AI155-1-AO156</f>
        <v>1.2969694716313818E-4</v>
      </c>
    </row>
    <row r="157" spans="1:43" x14ac:dyDescent="0.2">
      <c r="A157">
        <f t="shared" si="61"/>
        <v>153</v>
      </c>
      <c r="B157" s="1">
        <v>41516</v>
      </c>
      <c r="C157">
        <v>2.5129523500842188E-2</v>
      </c>
      <c r="D157" s="212">
        <v>-2.0620671473078889E-2</v>
      </c>
      <c r="E157">
        <v>-9.847327652381388E-4</v>
      </c>
      <c r="F157">
        <v>-1.9088147944379408E-4</v>
      </c>
      <c r="G157">
        <v>-3.9577634157208608E-2</v>
      </c>
      <c r="H157">
        <v>-5.4235282516517103E-3</v>
      </c>
      <c r="I157">
        <v>-3.206624306836714E-3</v>
      </c>
      <c r="J157">
        <v>-7.5790340539960699E-4</v>
      </c>
      <c r="K157">
        <v>2.3137470112717384E-3</v>
      </c>
      <c r="Z157" s="1">
        <f t="shared" si="62"/>
        <v>41516</v>
      </c>
      <c r="AA157">
        <f t="shared" si="63"/>
        <v>272.10155506602166</v>
      </c>
      <c r="AB157">
        <f t="shared" si="64"/>
        <v>134.73404203107646</v>
      </c>
      <c r="AC157">
        <f t="shared" si="65"/>
        <v>386.52600000000052</v>
      </c>
      <c r="AD157">
        <f t="shared" si="66"/>
        <v>151.03254094120246</v>
      </c>
      <c r="AE157">
        <f t="shared" si="67"/>
        <v>200.4679999999999</v>
      </c>
      <c r="AF157">
        <f t="shared" si="68"/>
        <v>218.34004416157964</v>
      </c>
      <c r="AG157">
        <f t="shared" si="69"/>
        <v>214.73328740647318</v>
      </c>
      <c r="AH157">
        <f t="shared" si="70"/>
        <v>253.66885360768697</v>
      </c>
      <c r="AI157">
        <f t="shared" si="71"/>
        <v>189.65019942076205</v>
      </c>
      <c r="AK157">
        <f t="shared" si="72"/>
        <v>2.5129523500842188E-2</v>
      </c>
      <c r="AL157">
        <f t="shared" si="73"/>
        <v>-3500</v>
      </c>
      <c r="AM157" s="1">
        <v>45016</v>
      </c>
      <c r="AN157">
        <v>-2.3609425051317467E-3</v>
      </c>
      <c r="AO157" s="128">
        <v>2.839437214427587E-3</v>
      </c>
      <c r="AP157">
        <f t="shared" si="74"/>
        <v>-2.7490466005973935E-2</v>
      </c>
      <c r="AQ157">
        <f t="shared" si="75"/>
        <v>-5.2569020315584858E-4</v>
      </c>
    </row>
    <row r="158" spans="1:43" x14ac:dyDescent="0.2">
      <c r="A158">
        <f t="shared" si="61"/>
        <v>154</v>
      </c>
      <c r="B158" s="1">
        <v>41547</v>
      </c>
      <c r="C158">
        <v>2.1620790411795321E-2</v>
      </c>
      <c r="D158" s="212">
        <v>3.7326519163940697E-2</v>
      </c>
      <c r="E158">
        <v>4.2198972384781319E-2</v>
      </c>
      <c r="F158">
        <v>1.067455794078187E-2</v>
      </c>
      <c r="G158">
        <v>3.2903006963704851E-2</v>
      </c>
      <c r="H158">
        <v>1.2730517549077947E-2</v>
      </c>
      <c r="I158">
        <v>5.0073879712253522E-3</v>
      </c>
      <c r="J158">
        <v>8.6825006235748958E-3</v>
      </c>
      <c r="K158">
        <v>2.1103261896722181E-3</v>
      </c>
      <c r="Z158" s="1">
        <f t="shared" si="62"/>
        <v>41547</v>
      </c>
      <c r="AA158">
        <f t="shared" si="63"/>
        <v>277.98460575882768</v>
      </c>
      <c r="AB158">
        <f t="shared" si="64"/>
        <v>139.76319483298462</v>
      </c>
      <c r="AC158">
        <f t="shared" si="65"/>
        <v>402.8370000000005</v>
      </c>
      <c r="AD158">
        <f t="shared" si="66"/>
        <v>152.64474655042284</v>
      </c>
      <c r="AE158">
        <f t="shared" si="67"/>
        <v>207.06399999999988</v>
      </c>
      <c r="AF158">
        <f t="shared" si="68"/>
        <v>221.11962592544509</v>
      </c>
      <c r="AG158">
        <f t="shared" si="69"/>
        <v>215.80854028685403</v>
      </c>
      <c r="AH158">
        <f t="shared" si="70"/>
        <v>255.87133358731725</v>
      </c>
      <c r="AI158">
        <f t="shared" si="71"/>
        <v>190.05042320347624</v>
      </c>
      <c r="AK158">
        <f t="shared" si="72"/>
        <v>2.1620790411795321E-2</v>
      </c>
      <c r="AL158">
        <f t="shared" si="73"/>
        <v>-3497</v>
      </c>
      <c r="AM158" s="1">
        <v>45044</v>
      </c>
      <c r="AN158">
        <v>1.8475004736738576E-2</v>
      </c>
      <c r="AO158" s="128">
        <v>3.0449690553149278E-3</v>
      </c>
      <c r="AP158">
        <f t="shared" si="74"/>
        <v>-3.1457856750567448E-3</v>
      </c>
      <c r="AQ158">
        <f t="shared" si="75"/>
        <v>-9.3464286564270971E-4</v>
      </c>
    </row>
    <row r="159" spans="1:43" x14ac:dyDescent="0.2">
      <c r="A159">
        <f t="shared" si="61"/>
        <v>155</v>
      </c>
      <c r="B159" s="1">
        <v>41578</v>
      </c>
      <c r="C159">
        <v>3.9346304735337734E-2</v>
      </c>
      <c r="D159" s="212">
        <v>3.9579229920241765E-2</v>
      </c>
      <c r="E159">
        <v>4.0160164036570523E-2</v>
      </c>
      <c r="F159">
        <v>2.517390048225443E-2</v>
      </c>
      <c r="G159">
        <v>3.6582892245875742E-2</v>
      </c>
      <c r="H159">
        <v>1.5938283208019932E-2</v>
      </c>
      <c r="I159">
        <v>-5.6196892780691066E-4</v>
      </c>
      <c r="J159">
        <v>1.0126626792146043E-2</v>
      </c>
      <c r="K159">
        <v>2.1796640150930635E-3</v>
      </c>
      <c r="Z159" s="1">
        <f t="shared" si="62"/>
        <v>41578</v>
      </c>
      <c r="AA159">
        <f t="shared" si="63"/>
        <v>288.92227276874723</v>
      </c>
      <c r="AB159">
        <f t="shared" si="64"/>
        <v>145.29491445566686</v>
      </c>
      <c r="AC159">
        <f t="shared" si="65"/>
        <v>419.0150000000005</v>
      </c>
      <c r="AD159">
        <f t="shared" si="66"/>
        <v>156.48741020922213</v>
      </c>
      <c r="AE159">
        <f t="shared" si="67"/>
        <v>214.6389999999999</v>
      </c>
      <c r="AF159">
        <f t="shared" si="68"/>
        <v>224.64389314629625</v>
      </c>
      <c r="AG159">
        <f t="shared" si="69"/>
        <v>215.68726259285745</v>
      </c>
      <c r="AH159">
        <f t="shared" si="70"/>
        <v>258.46244708936473</v>
      </c>
      <c r="AI159">
        <f t="shared" si="71"/>
        <v>190.46466927198605</v>
      </c>
      <c r="AK159">
        <f t="shared" si="72"/>
        <v>3.9346304735337734E-2</v>
      </c>
      <c r="AL159">
        <f t="shared" si="73"/>
        <v>-3499</v>
      </c>
      <c r="AM159" s="1">
        <v>45077</v>
      </c>
      <c r="AN159">
        <v>-2.5312284709329225E-2</v>
      </c>
      <c r="AO159" s="128">
        <v>2.9480773357508649E-3</v>
      </c>
      <c r="AP159">
        <f t="shared" si="74"/>
        <v>-6.4658589444666958E-2</v>
      </c>
      <c r="AQ159">
        <f t="shared" si="75"/>
        <v>-7.6841332065780144E-4</v>
      </c>
    </row>
    <row r="160" spans="1:43" x14ac:dyDescent="0.2">
      <c r="A160">
        <f t="shared" si="61"/>
        <v>156</v>
      </c>
      <c r="B160" s="1">
        <v>41607</v>
      </c>
      <c r="C160">
        <v>-1.3575754841474774E-2</v>
      </c>
      <c r="D160" s="212">
        <v>2.1712298366257432E-2</v>
      </c>
      <c r="E160">
        <v>-3.7468825698361297E-4</v>
      </c>
      <c r="F160">
        <v>-2.850654946103115E-2</v>
      </c>
      <c r="G160">
        <v>-5.4743080241708153E-3</v>
      </c>
      <c r="H160">
        <v>1.308638168292009E-2</v>
      </c>
      <c r="I160">
        <v>-9.872692352316248E-4</v>
      </c>
      <c r="J160">
        <v>1.0669892201129461E-3</v>
      </c>
      <c r="K160">
        <v>2.1318048171581339E-3</v>
      </c>
      <c r="Z160" s="1">
        <f t="shared" si="62"/>
        <v>41607</v>
      </c>
      <c r="AA160">
        <f t="shared" si="63"/>
        <v>284.99993482539702</v>
      </c>
      <c r="AB160">
        <f t="shared" si="64"/>
        <v>148.44960098942815</v>
      </c>
      <c r="AC160">
        <f t="shared" si="65"/>
        <v>418.85800000000052</v>
      </c>
      <c r="AD160">
        <f t="shared" si="66"/>
        <v>152.02649411006428</v>
      </c>
      <c r="AE160">
        <f t="shared" si="67"/>
        <v>213.46399999999988</v>
      </c>
      <c r="AF160">
        <f t="shared" si="68"/>
        <v>227.5836688747458</v>
      </c>
      <c r="AG160">
        <f t="shared" si="69"/>
        <v>215.47432119406821</v>
      </c>
      <c r="AH160">
        <f t="shared" si="70"/>
        <v>258.73822373421308</v>
      </c>
      <c r="AI160">
        <f t="shared" si="71"/>
        <v>190.87070277143852</v>
      </c>
      <c r="AK160">
        <f t="shared" si="72"/>
        <v>-1.3575754841474774E-2</v>
      </c>
      <c r="AL160">
        <f t="shared" si="73"/>
        <v>-3500</v>
      </c>
      <c r="AM160" s="1">
        <v>45107</v>
      </c>
      <c r="AN160">
        <v>1.7316255965940996E-2</v>
      </c>
      <c r="AO160" s="128">
        <v>3.0102202793516053E-3</v>
      </c>
      <c r="AP160">
        <f t="shared" si="74"/>
        <v>3.0892010807415771E-2</v>
      </c>
      <c r="AQ160">
        <f t="shared" si="75"/>
        <v>-8.7841546219347144E-4</v>
      </c>
    </row>
    <row r="161" spans="1:43" x14ac:dyDescent="0.2">
      <c r="A161">
        <f t="shared" si="61"/>
        <v>157</v>
      </c>
      <c r="B161" s="1">
        <v>41639</v>
      </c>
      <c r="C161">
        <v>8.2348701127039625E-3</v>
      </c>
      <c r="D161" s="212">
        <v>2.0881271654897171E-2</v>
      </c>
      <c r="E161">
        <v>-9.8171695419450034E-3</v>
      </c>
      <c r="F161">
        <v>-1.5597543219587173E-2</v>
      </c>
      <c r="G161">
        <v>2.2978113405539125E-2</v>
      </c>
      <c r="H161">
        <v>1.1947113098069062E-2</v>
      </c>
      <c r="I161">
        <v>5.2518119697078092E-3</v>
      </c>
      <c r="J161">
        <v>-4.691820427805915E-3</v>
      </c>
      <c r="K161">
        <v>2.1477062401644709E-3</v>
      </c>
      <c r="Z161" s="1">
        <f t="shared" si="62"/>
        <v>41639</v>
      </c>
      <c r="AA161">
        <f t="shared" si="63"/>
        <v>287.34687227081326</v>
      </c>
      <c r="AB161">
        <f t="shared" si="64"/>
        <v>151.5494174347495</v>
      </c>
      <c r="AC161">
        <f t="shared" si="65"/>
        <v>414.74600000000049</v>
      </c>
      <c r="AD161">
        <f t="shared" si="66"/>
        <v>149.65525429766024</v>
      </c>
      <c r="AE161">
        <f t="shared" si="67"/>
        <v>218.36899999999989</v>
      </c>
      <c r="AF161">
        <f t="shared" si="68"/>
        <v>230.3026367060659</v>
      </c>
      <c r="AG161">
        <f t="shared" si="69"/>
        <v>216.60595181327989</v>
      </c>
      <c r="AH161">
        <f t="shared" si="70"/>
        <v>257.52427045064269</v>
      </c>
      <c r="AI161">
        <f t="shared" si="71"/>
        <v>191.28063697084531</v>
      </c>
      <c r="AK161">
        <f t="shared" si="72"/>
        <v>8.2348701127039625E-3</v>
      </c>
      <c r="AL161">
        <f t="shared" si="73"/>
        <v>-3499</v>
      </c>
      <c r="AM161" s="1">
        <v>45138</v>
      </c>
      <c r="AN161">
        <v>2.8944736226748091E-2</v>
      </c>
      <c r="AO161" s="128">
        <v>3.7329703504040967E-3</v>
      </c>
      <c r="AP161">
        <f t="shared" si="74"/>
        <v>2.0709866114044129E-2</v>
      </c>
      <c r="AQ161">
        <f t="shared" si="75"/>
        <v>-1.5852641102396259E-3</v>
      </c>
    </row>
    <row r="162" spans="1:43" x14ac:dyDescent="0.2">
      <c r="A162">
        <f t="shared" si="61"/>
        <v>158</v>
      </c>
      <c r="B162" s="1">
        <v>41670</v>
      </c>
      <c r="C162">
        <v>-2.995524031284158E-2</v>
      </c>
      <c r="D162" s="212">
        <v>-3.2419329766700811E-2</v>
      </c>
      <c r="E162">
        <v>-4.4492291667671213E-2</v>
      </c>
      <c r="F162">
        <v>5.5479052265914319E-3</v>
      </c>
      <c r="G162">
        <v>2.697269301045413E-3</v>
      </c>
      <c r="H162">
        <v>-2.8575188464646795E-3</v>
      </c>
      <c r="I162">
        <v>1.0874825812513089E-2</v>
      </c>
      <c r="J162">
        <v>1.6745219899491515E-2</v>
      </c>
      <c r="K162">
        <v>2.2425762116466963E-3</v>
      </c>
      <c r="Z162" s="1">
        <f t="shared" si="62"/>
        <v>41670</v>
      </c>
      <c r="AA162">
        <f t="shared" si="63"/>
        <v>278.73932765879766</v>
      </c>
      <c r="AB162">
        <f t="shared" si="64"/>
        <v>146.63628689498097</v>
      </c>
      <c r="AC162">
        <f t="shared" si="65"/>
        <v>396.29300000000052</v>
      </c>
      <c r="AD162">
        <f t="shared" si="66"/>
        <v>150.48552746516509</v>
      </c>
      <c r="AE162">
        <f t="shared" si="67"/>
        <v>218.95799999999988</v>
      </c>
      <c r="AF162">
        <f t="shared" si="68"/>
        <v>229.64454258128779</v>
      </c>
      <c r="AG162">
        <f t="shared" si="69"/>
        <v>218.96150380920292</v>
      </c>
      <c r="AH162">
        <f t="shared" si="70"/>
        <v>261.83657098879485</v>
      </c>
      <c r="AI162">
        <f t="shared" si="71"/>
        <v>191.70959837706476</v>
      </c>
      <c r="AK162">
        <f t="shared" si="72"/>
        <v>-2.995524031284158E-2</v>
      </c>
      <c r="AL162">
        <f t="shared" si="73"/>
        <v>-3499</v>
      </c>
      <c r="AM162" s="1">
        <v>45169</v>
      </c>
      <c r="AN162">
        <v>-7.637697571251767E-3</v>
      </c>
      <c r="AO162" s="128">
        <v>3.6535232226799774E-3</v>
      </c>
      <c r="AP162">
        <f t="shared" si="74"/>
        <v>2.2317542741589813E-2</v>
      </c>
      <c r="AQ162">
        <f t="shared" si="75"/>
        <v>-1.4109470110332811E-3</v>
      </c>
    </row>
    <row r="163" spans="1:43" x14ac:dyDescent="0.2">
      <c r="A163">
        <f t="shared" si="61"/>
        <v>159</v>
      </c>
      <c r="B163" s="1">
        <v>41698</v>
      </c>
      <c r="C163">
        <v>4.9163991190628309E-2</v>
      </c>
      <c r="D163" s="212">
        <v>4.2120335112473484E-2</v>
      </c>
      <c r="E163">
        <v>2.1615319977895009E-2</v>
      </c>
      <c r="F163">
        <v>4.2763269124558967E-2</v>
      </c>
      <c r="G163">
        <v>3.4718987203025131E-2</v>
      </c>
      <c r="H163">
        <v>1.7156539280933636E-2</v>
      </c>
      <c r="I163">
        <v>3.4132087442499959E-3</v>
      </c>
      <c r="J163">
        <v>5.8226126630036568E-3</v>
      </c>
      <c r="K163">
        <v>1.9931633720418063E-3</v>
      </c>
      <c r="Z163" s="1">
        <f t="shared" si="62"/>
        <v>41698</v>
      </c>
      <c r="AA163">
        <f t="shared" si="63"/>
        <v>292.44326550829646</v>
      </c>
      <c r="AB163">
        <f t="shared" si="64"/>
        <v>152.81265643864637</v>
      </c>
      <c r="AC163">
        <f t="shared" si="65"/>
        <v>404.85900000000049</v>
      </c>
      <c r="AD163">
        <f t="shared" si="66"/>
        <v>156.92078057550916</v>
      </c>
      <c r="AE163">
        <f t="shared" si="67"/>
        <v>226.55999999999986</v>
      </c>
      <c r="AF163">
        <f t="shared" si="68"/>
        <v>233.58444819673571</v>
      </c>
      <c r="AG163">
        <f t="shared" si="69"/>
        <v>219.70886512865863</v>
      </c>
      <c r="AH163">
        <f t="shared" si="70"/>
        <v>263.36114392267166</v>
      </c>
      <c r="AI163">
        <f t="shared" si="71"/>
        <v>192.09170692661877</v>
      </c>
      <c r="AK163">
        <f t="shared" si="72"/>
        <v>4.9163991190628309E-2</v>
      </c>
      <c r="AL163">
        <f t="shared" si="73"/>
        <v>-3500</v>
      </c>
      <c r="AM163" s="1">
        <v>45198</v>
      </c>
      <c r="AN163">
        <v>-2.9746000000000002E-2</v>
      </c>
      <c r="AO163">
        <v>3.3630000000000001E-3</v>
      </c>
      <c r="AP163">
        <f t="shared" si="74"/>
        <v>-7.8909991190628304E-2</v>
      </c>
      <c r="AQ163">
        <f t="shared" si="75"/>
        <v>-1.3698366279581938E-3</v>
      </c>
    </row>
    <row r="164" spans="1:43" x14ac:dyDescent="0.2">
      <c r="A164">
        <f t="shared" si="61"/>
        <v>160</v>
      </c>
      <c r="B164" s="1">
        <v>41729</v>
      </c>
      <c r="C164">
        <v>2.0944606663497733E-3</v>
      </c>
      <c r="D164" s="212">
        <v>1.8611782623372264E-3</v>
      </c>
      <c r="E164">
        <v>1.8969567182648861E-2</v>
      </c>
      <c r="F164">
        <v>-1.6413554558720178E-2</v>
      </c>
      <c r="G164">
        <v>1.6671080508474656E-2</v>
      </c>
      <c r="H164">
        <v>-4.837723119126669E-3</v>
      </c>
      <c r="I164">
        <v>1.8966236337192299E-4</v>
      </c>
      <c r="J164">
        <v>3.5459639580894819E-3</v>
      </c>
      <c r="K164">
        <v>2.1798054489559071E-3</v>
      </c>
      <c r="Z164" s="1">
        <f t="shared" si="62"/>
        <v>41729</v>
      </c>
      <c r="AA164">
        <f t="shared" si="63"/>
        <v>293.0557764250425</v>
      </c>
      <c r="AB164">
        <f t="shared" si="64"/>
        <v>153.09706803301998</v>
      </c>
      <c r="AC164">
        <f t="shared" si="65"/>
        <v>412.53900000000056</v>
      </c>
      <c r="AD164">
        <f t="shared" si="66"/>
        <v>154.34515278213607</v>
      </c>
      <c r="AE164">
        <f t="shared" si="67"/>
        <v>230.33699999999988</v>
      </c>
      <c r="AF164">
        <f t="shared" si="68"/>
        <v>232.45443131142591</v>
      </c>
      <c r="AG164">
        <f t="shared" si="69"/>
        <v>219.7505356312727</v>
      </c>
      <c r="AH164">
        <f t="shared" si="70"/>
        <v>264.29501304698266</v>
      </c>
      <c r="AI164">
        <f t="shared" si="71"/>
        <v>192.51042947607667</v>
      </c>
      <c r="AK164">
        <f t="shared" si="72"/>
        <v>2.0944606663497733E-3</v>
      </c>
      <c r="AL164">
        <f t="shared" si="73"/>
        <v>-3501</v>
      </c>
      <c r="AM164" s="1">
        <v>45230</v>
      </c>
      <c r="AN164">
        <v>-3.9513E-2</v>
      </c>
      <c r="AO164">
        <v>3.336E-3</v>
      </c>
      <c r="AP164">
        <f t="shared" si="74"/>
        <v>-4.1607460666349773E-2</v>
      </c>
      <c r="AQ164">
        <f t="shared" si="75"/>
        <v>-1.1561945510440929E-3</v>
      </c>
    </row>
    <row r="165" spans="1:43" x14ac:dyDescent="0.2">
      <c r="A165">
        <f t="shared" si="61"/>
        <v>161</v>
      </c>
      <c r="B165" s="1">
        <v>41759</v>
      </c>
      <c r="C165">
        <v>1.6835643589018234E-2</v>
      </c>
      <c r="D165" s="212">
        <v>7.2882278530517208E-3</v>
      </c>
      <c r="E165">
        <v>-1.7428655230171675E-3</v>
      </c>
      <c r="F165">
        <v>5.7337370118630826E-2</v>
      </c>
      <c r="G165">
        <v>2.3044495673730125E-2</v>
      </c>
      <c r="H165">
        <v>-2.0674241013224348E-3</v>
      </c>
      <c r="I165">
        <v>9.0671769026227089E-3</v>
      </c>
      <c r="J165">
        <v>7.7405250822784044E-3</v>
      </c>
      <c r="K165">
        <v>2.2144765609508621E-3</v>
      </c>
      <c r="Z165" s="1">
        <f t="shared" si="62"/>
        <v>41759</v>
      </c>
      <c r="AA165">
        <f t="shared" si="63"/>
        <v>297.98955902863753</v>
      </c>
      <c r="AB165">
        <f t="shared" si="64"/>
        <v>154.21287434847878</v>
      </c>
      <c r="AC165">
        <f t="shared" si="65"/>
        <v>411.82000000000056</v>
      </c>
      <c r="AD165">
        <f t="shared" si="66"/>
        <v>163.19489793322202</v>
      </c>
      <c r="AE165">
        <f t="shared" si="67"/>
        <v>235.64499999999984</v>
      </c>
      <c r="AF165">
        <f t="shared" si="68"/>
        <v>231.97384941767348</v>
      </c>
      <c r="AG165">
        <f t="shared" si="69"/>
        <v>221.74305261228753</v>
      </c>
      <c r="AH165">
        <f t="shared" si="70"/>
        <v>266.34079522459393</v>
      </c>
      <c r="AI165">
        <f t="shared" si="71"/>
        <v>192.93673930989002</v>
      </c>
      <c r="AK165">
        <f t="shared" si="72"/>
        <v>1.6835643589018234E-2</v>
      </c>
      <c r="AL165">
        <f t="shared" si="73"/>
        <v>-3501</v>
      </c>
      <c r="AM165" s="1">
        <v>45260</v>
      </c>
      <c r="AN165">
        <v>4.8196999999999997E-2</v>
      </c>
      <c r="AO165">
        <v>3.4870000000000001E-3</v>
      </c>
      <c r="AP165">
        <f t="shared" si="74"/>
        <v>3.1361356410981762E-2</v>
      </c>
      <c r="AQ165">
        <f t="shared" si="75"/>
        <v>-1.272523439049138E-3</v>
      </c>
    </row>
    <row r="166" spans="1:43" x14ac:dyDescent="0.2">
      <c r="A166">
        <f t="shared" si="61"/>
        <v>162</v>
      </c>
      <c r="B166" s="1">
        <v>41789</v>
      </c>
      <c r="C166">
        <v>6.4520743200224828E-3</v>
      </c>
      <c r="D166" s="212">
        <v>2.2491294970416797E-2</v>
      </c>
      <c r="E166">
        <v>2.8563450050993255E-2</v>
      </c>
      <c r="F166">
        <v>4.3133015985197254E-4</v>
      </c>
      <c r="G166">
        <v>2.2898852086825627E-2</v>
      </c>
      <c r="H166">
        <v>1.13104014632599E-2</v>
      </c>
      <c r="I166">
        <v>1.3728109345685358E-2</v>
      </c>
      <c r="J166">
        <v>1.0117792932424097E-2</v>
      </c>
      <c r="K166">
        <v>2.2486284889879915E-3</v>
      </c>
      <c r="Z166" s="1">
        <f t="shared" si="62"/>
        <v>41789</v>
      </c>
      <c r="AA166">
        <f t="shared" si="63"/>
        <v>299.91220981008104</v>
      </c>
      <c r="AB166">
        <f t="shared" si="64"/>
        <v>157.68132159368625</v>
      </c>
      <c r="AC166">
        <f t="shared" si="65"/>
        <v>423.5830000000006</v>
      </c>
      <c r="AD166">
        <f t="shared" si="66"/>
        <v>163.26528881463457</v>
      </c>
      <c r="AE166">
        <f t="shared" si="67"/>
        <v>241.04099999999985</v>
      </c>
      <c r="AF166">
        <f t="shared" si="68"/>
        <v>234.59756678356516</v>
      </c>
      <c r="AG166">
        <f t="shared" si="69"/>
        <v>224.78716548519506</v>
      </c>
      <c r="AH166">
        <f t="shared" si="70"/>
        <v>269.03557624013354</v>
      </c>
      <c r="AI166">
        <f t="shared" si="71"/>
        <v>193.37058235847468</v>
      </c>
      <c r="AK166">
        <f t="shared" si="72"/>
        <v>6.4520743200224828E-3</v>
      </c>
      <c r="AL166">
        <f t="shared" si="73"/>
        <v>-3500</v>
      </c>
      <c r="AM166" s="1">
        <v>45289</v>
      </c>
      <c r="AN166">
        <v>6.7308999999999994E-2</v>
      </c>
      <c r="AO166">
        <v>3.6770000000000001E-3</v>
      </c>
      <c r="AP166">
        <f t="shared" si="74"/>
        <v>6.0856925679977511E-2</v>
      </c>
      <c r="AQ166">
        <f t="shared" si="75"/>
        <v>-1.4283715110120086E-3</v>
      </c>
    </row>
    <row r="167" spans="1:43" x14ac:dyDescent="0.2">
      <c r="A167">
        <f t="shared" si="61"/>
        <v>163</v>
      </c>
      <c r="B167" s="1">
        <v>41820</v>
      </c>
      <c r="C167">
        <v>-1.4468433545799519E-2</v>
      </c>
      <c r="D167" s="212">
        <v>1.3812165013912914E-2</v>
      </c>
      <c r="E167">
        <v>2.3948081013638323E-2</v>
      </c>
      <c r="F167">
        <v>3.4205837588501486E-2</v>
      </c>
      <c r="G167">
        <v>3.6873394982596341E-2</v>
      </c>
      <c r="H167">
        <v>9.5782965765431882E-3</v>
      </c>
      <c r="I167">
        <v>8.0454126908331425E-3</v>
      </c>
      <c r="J167">
        <v>5.8400819475856736E-3</v>
      </c>
      <c r="K167">
        <v>2.2021480824514494E-3</v>
      </c>
      <c r="Z167" s="1">
        <f t="shared" si="62"/>
        <v>41820</v>
      </c>
      <c r="AA167">
        <f t="shared" si="63"/>
        <v>295.57294993287002</v>
      </c>
      <c r="AB167">
        <f t="shared" si="64"/>
        <v>159.85924202715012</v>
      </c>
      <c r="AC167">
        <f t="shared" si="65"/>
        <v>433.72700000000054</v>
      </c>
      <c r="AD167">
        <f t="shared" si="66"/>
        <v>168.84991476766774</v>
      </c>
      <c r="AE167">
        <f t="shared" si="67"/>
        <v>249.92899999999986</v>
      </c>
      <c r="AF167">
        <f t="shared" si="68"/>
        <v>236.84461185435353</v>
      </c>
      <c r="AG167">
        <f t="shared" si="69"/>
        <v>226.59567099912607</v>
      </c>
      <c r="AH167">
        <f t="shared" si="70"/>
        <v>270.60676605219186</v>
      </c>
      <c r="AI167">
        <f t="shared" si="71"/>
        <v>193.7964130156179</v>
      </c>
      <c r="AK167">
        <f t="shared" si="72"/>
        <v>-1.4468433545799408E-2</v>
      </c>
      <c r="AL167">
        <f t="shared" si="73"/>
        <v>-3502</v>
      </c>
      <c r="AM167" s="1">
        <v>45322</v>
      </c>
      <c r="AN167">
        <v>1.0884E-2</v>
      </c>
      <c r="AO167">
        <v>3.6830000000000001E-3</v>
      </c>
      <c r="AP167">
        <f t="shared" si="74"/>
        <v>2.5352433545799406E-2</v>
      </c>
      <c r="AQ167">
        <f t="shared" si="75"/>
        <v>-1.4808519175485506E-3</v>
      </c>
    </row>
    <row r="168" spans="1:43" x14ac:dyDescent="0.2">
      <c r="A168">
        <f t="shared" si="61"/>
        <v>164</v>
      </c>
      <c r="B168" s="1">
        <v>41851</v>
      </c>
      <c r="C168">
        <v>4.4123671967990052E-2</v>
      </c>
      <c r="D168" s="212">
        <v>-7.8346528732073928E-3</v>
      </c>
      <c r="E168">
        <v>2.973990551660366E-2</v>
      </c>
      <c r="F168">
        <v>5.0533411017800622E-2</v>
      </c>
      <c r="G168">
        <v>-1.1131161249794963E-2</v>
      </c>
      <c r="H168">
        <v>-3.0893536121672227E-3</v>
      </c>
      <c r="I168">
        <v>2.9120545928160713E-3</v>
      </c>
      <c r="J168">
        <v>6.3636566228899571E-3</v>
      </c>
      <c r="K168">
        <v>2.2991834472432249E-3</v>
      </c>
      <c r="Z168" s="1">
        <f t="shared" si="62"/>
        <v>41851</v>
      </c>
      <c r="AA168">
        <f t="shared" si="63"/>
        <v>308.6147138183191</v>
      </c>
      <c r="AB168">
        <f t="shared" si="64"/>
        <v>158.60680035729334</v>
      </c>
      <c r="AC168">
        <f t="shared" si="65"/>
        <v>446.62600000000049</v>
      </c>
      <c r="AD168">
        <f t="shared" si="66"/>
        <v>177.3824769109429</v>
      </c>
      <c r="AE168">
        <f t="shared" si="67"/>
        <v>247.14699999999985</v>
      </c>
      <c r="AF168">
        <f t="shared" si="68"/>
        <v>236.11291509719894</v>
      </c>
      <c r="AG168">
        <f t="shared" si="69"/>
        <v>227.25552996357132</v>
      </c>
      <c r="AH168">
        <f t="shared" si="70"/>
        <v>272.32881459117874</v>
      </c>
      <c r="AI168">
        <f t="shared" si="71"/>
        <v>194.24198652055853</v>
      </c>
      <c r="AK168">
        <f t="shared" si="72"/>
        <v>4.4123671967990052E-2</v>
      </c>
    </row>
    <row r="169" spans="1:43" x14ac:dyDescent="0.2">
      <c r="A169">
        <f t="shared" si="61"/>
        <v>165</v>
      </c>
      <c r="B169" s="1">
        <v>41880</v>
      </c>
      <c r="C169">
        <v>6.4235948689803646E-3</v>
      </c>
      <c r="D169" s="212">
        <v>2.6413530807688934E-2</v>
      </c>
      <c r="E169">
        <v>1.9860017106035022E-2</v>
      </c>
      <c r="F169">
        <v>1.6317885607462168E-2</v>
      </c>
      <c r="G169">
        <v>4.1683694319575082E-2</v>
      </c>
      <c r="H169">
        <v>8.7833501421104021E-3</v>
      </c>
      <c r="I169">
        <v>1.01417146022027E-2</v>
      </c>
      <c r="J169">
        <v>1.4793068916804764E-2</v>
      </c>
      <c r="K169">
        <v>2.2661448863297018E-3</v>
      </c>
      <c r="Z169" s="1">
        <f t="shared" si="62"/>
        <v>41880</v>
      </c>
      <c r="AA169">
        <f t="shared" si="63"/>
        <v>310.5971297104943</v>
      </c>
      <c r="AB169">
        <f t="shared" si="64"/>
        <v>162.79616596483967</v>
      </c>
      <c r="AC169">
        <f t="shared" si="65"/>
        <v>455.49600000000049</v>
      </c>
      <c r="AD169">
        <f t="shared" si="66"/>
        <v>180.27698387794396</v>
      </c>
      <c r="AE169">
        <f t="shared" si="67"/>
        <v>257.44899999999984</v>
      </c>
      <c r="AF169">
        <f t="shared" si="68"/>
        <v>238.18677750357202</v>
      </c>
      <c r="AG169">
        <f t="shared" si="69"/>
        <v>229.56029069023418</v>
      </c>
      <c r="AH169">
        <f t="shared" si="70"/>
        <v>276.35739351345779</v>
      </c>
      <c r="AI169">
        <f t="shared" si="71"/>
        <v>194.68216700502262</v>
      </c>
      <c r="AK169">
        <f t="shared" si="72"/>
        <v>6.4235948689803646E-3</v>
      </c>
    </row>
    <row r="170" spans="1:43" x14ac:dyDescent="0.2">
      <c r="A170">
        <f t="shared" si="61"/>
        <v>166</v>
      </c>
      <c r="B170" s="1">
        <v>41912</v>
      </c>
      <c r="C170">
        <v>-5.3674068577913125E-2</v>
      </c>
      <c r="D170" s="212">
        <v>-9.9486378958087984E-3</v>
      </c>
      <c r="E170">
        <v>-4.2498726662802744E-2</v>
      </c>
      <c r="F170">
        <v>-5.209107588088624E-2</v>
      </c>
      <c r="G170">
        <v>-5.1349976111773055E-3</v>
      </c>
      <c r="H170">
        <v>-1.0906314756231605E-4</v>
      </c>
      <c r="I170">
        <v>-3.3299934070599724E-3</v>
      </c>
      <c r="J170">
        <v>3.0030477297549041E-4</v>
      </c>
      <c r="K170">
        <v>2.0737404390922531E-3</v>
      </c>
      <c r="Z170" s="1">
        <f t="shared" si="62"/>
        <v>41912</v>
      </c>
      <c r="AA170">
        <f t="shared" si="63"/>
        <v>293.92611807031022</v>
      </c>
      <c r="AB170">
        <f t="shared" si="64"/>
        <v>161.17656585882949</v>
      </c>
      <c r="AC170">
        <f t="shared" si="65"/>
        <v>436.13800000000049</v>
      </c>
      <c r="AD170">
        <f t="shared" si="66"/>
        <v>170.88616183118069</v>
      </c>
      <c r="AE170">
        <f t="shared" si="67"/>
        <v>256.12699999999984</v>
      </c>
      <c r="AF170">
        <f t="shared" si="68"/>
        <v>238.16080010390976</v>
      </c>
      <c r="AG170">
        <f t="shared" si="69"/>
        <v>228.79585643571292</v>
      </c>
      <c r="AH170">
        <f t="shared" si="70"/>
        <v>276.44038495777693</v>
      </c>
      <c r="AI170">
        <f t="shared" si="71"/>
        <v>195.08588728751104</v>
      </c>
      <c r="AK170">
        <f t="shared" si="72"/>
        <v>-5.3674068577913236E-2</v>
      </c>
    </row>
    <row r="171" spans="1:43" x14ac:dyDescent="0.2">
      <c r="A171">
        <f t="shared" si="61"/>
        <v>167</v>
      </c>
      <c r="B171" s="1">
        <v>41943</v>
      </c>
      <c r="C171">
        <v>4.2654417265765909E-2</v>
      </c>
      <c r="D171" s="212">
        <v>1.1377155616699941E-2</v>
      </c>
      <c r="E171">
        <v>1.4204219765303838E-2</v>
      </c>
      <c r="F171">
        <v>6.7867015389807106E-2</v>
      </c>
      <c r="G171">
        <v>4.9362230455984646E-2</v>
      </c>
      <c r="H171">
        <v>-7.9988365328681477E-3</v>
      </c>
      <c r="I171">
        <v>9.5665389766108611E-3</v>
      </c>
      <c r="J171">
        <v>9.1148204910500574E-3</v>
      </c>
      <c r="K171">
        <v>2.3114607058905001E-3</v>
      </c>
      <c r="Z171" s="1">
        <f t="shared" si="62"/>
        <v>41943</v>
      </c>
      <c r="AA171">
        <f t="shared" si="63"/>
        <v>306.46336535578803</v>
      </c>
      <c r="AB171">
        <f t="shared" si="64"/>
        <v>163.01029673037067</v>
      </c>
      <c r="AC171">
        <f t="shared" si="65"/>
        <v>442.3330000000006</v>
      </c>
      <c r="AD171">
        <f t="shared" si="66"/>
        <v>182.48369560608251</v>
      </c>
      <c r="AE171">
        <f t="shared" si="67"/>
        <v>268.76999999999981</v>
      </c>
      <c r="AF171">
        <f t="shared" si="68"/>
        <v>236.25579079534151</v>
      </c>
      <c r="AG171">
        <f t="shared" si="69"/>
        <v>230.98464091399222</v>
      </c>
      <c r="AH171">
        <f t="shared" si="70"/>
        <v>278.96008944314383</v>
      </c>
      <c r="AI171">
        <f t="shared" si="71"/>
        <v>195.53682065024989</v>
      </c>
      <c r="AK171">
        <f t="shared" si="72"/>
        <v>4.2654417265765909E-2</v>
      </c>
    </row>
    <row r="172" spans="1:43" x14ac:dyDescent="0.2">
      <c r="A172">
        <f t="shared" si="61"/>
        <v>168</v>
      </c>
      <c r="B172" s="1">
        <v>41971</v>
      </c>
      <c r="C172">
        <v>-3.2422977378625761E-2</v>
      </c>
      <c r="D172" s="212">
        <v>2.8884807611248231E-2</v>
      </c>
      <c r="E172">
        <v>1.1265268474203616E-2</v>
      </c>
      <c r="F172">
        <v>-1.7846188165745458E-3</v>
      </c>
      <c r="G172">
        <v>1.106522305316826E-2</v>
      </c>
      <c r="H172">
        <v>1.4972144846796764E-2</v>
      </c>
      <c r="I172">
        <v>1.2676388809881534E-2</v>
      </c>
      <c r="J172">
        <v>1.3803175217559804E-2</v>
      </c>
      <c r="K172">
        <v>2.2487593092135327E-3</v>
      </c>
      <c r="Z172" s="1">
        <f t="shared" si="62"/>
        <v>41971</v>
      </c>
      <c r="AA172">
        <f t="shared" si="63"/>
        <v>296.52691059347978</v>
      </c>
      <c r="AB172">
        <f t="shared" si="64"/>
        <v>167.71881779007992</v>
      </c>
      <c r="AC172">
        <f t="shared" si="65"/>
        <v>447.31600000000049</v>
      </c>
      <c r="AD172">
        <f t="shared" si="66"/>
        <v>182.15803176918584</v>
      </c>
      <c r="AE172">
        <f t="shared" si="67"/>
        <v>271.74399999999986</v>
      </c>
      <c r="AF172">
        <f t="shared" si="68"/>
        <v>239.79304671602387</v>
      </c>
      <c r="AG172">
        <f t="shared" si="69"/>
        <v>233.91269203132885</v>
      </c>
      <c r="AH172">
        <f t="shared" si="70"/>
        <v>282.81062443643367</v>
      </c>
      <c r="AI172">
        <f t="shared" si="71"/>
        <v>195.97653589598116</v>
      </c>
      <c r="AK172">
        <f t="shared" si="72"/>
        <v>-3.2422977378625761E-2</v>
      </c>
    </row>
    <row r="173" spans="1:43" x14ac:dyDescent="0.2">
      <c r="A173">
        <f t="shared" si="61"/>
        <v>169</v>
      </c>
      <c r="B173" s="1">
        <v>42004</v>
      </c>
      <c r="C173">
        <v>2.0402524896526941E-2</v>
      </c>
      <c r="D173" s="212">
        <v>-7.7718387821164026E-3</v>
      </c>
      <c r="E173">
        <v>-2.4866090191274171E-2</v>
      </c>
      <c r="F173">
        <v>4.6017468387433036E-2</v>
      </c>
      <c r="G173">
        <v>1.6471384832783764E-2</v>
      </c>
      <c r="H173">
        <v>1.2638801119435605E-4</v>
      </c>
      <c r="I173">
        <v>1.6851446969472716E-2</v>
      </c>
      <c r="J173">
        <v>1.0541607448748103E-2</v>
      </c>
      <c r="K173">
        <v>2.3181179782798544E-3</v>
      </c>
      <c r="Z173" s="1">
        <f t="shared" si="62"/>
        <v>42004</v>
      </c>
      <c r="AA173">
        <f t="shared" si="63"/>
        <v>302.57680826935348</v>
      </c>
      <c r="AB173">
        <f t="shared" si="64"/>
        <v>166.41533417748826</v>
      </c>
      <c r="AC173">
        <f t="shared" si="65"/>
        <v>436.1930000000005</v>
      </c>
      <c r="AD173">
        <f t="shared" si="66"/>
        <v>190.54048323764138</v>
      </c>
      <c r="AE173">
        <f t="shared" si="67"/>
        <v>276.21999999999986</v>
      </c>
      <c r="AF173">
        <f t="shared" si="68"/>
        <v>239.82335368229653</v>
      </c>
      <c r="AG173">
        <f t="shared" si="69"/>
        <v>237.85445935658137</v>
      </c>
      <c r="AH173">
        <f t="shared" si="70"/>
        <v>285.79190302157787</v>
      </c>
      <c r="AI173">
        <f t="shared" si="71"/>
        <v>196.43083262716263</v>
      </c>
      <c r="AK173">
        <f t="shared" si="72"/>
        <v>2.0402524896526941E-2</v>
      </c>
    </row>
    <row r="174" spans="1:43" x14ac:dyDescent="0.2">
      <c r="A174">
        <f t="shared" si="61"/>
        <v>170</v>
      </c>
      <c r="B174" s="1">
        <v>42034</v>
      </c>
      <c r="C174">
        <v>3.223589931152171E-2</v>
      </c>
      <c r="D174" s="212">
        <v>-5.468949760512265E-3</v>
      </c>
      <c r="E174">
        <v>1.4204721304560186E-2</v>
      </c>
      <c r="F174">
        <v>7.7553055120353376E-2</v>
      </c>
      <c r="G174">
        <v>2.1797842299616343E-2</v>
      </c>
      <c r="H174">
        <v>8.0697573656847155E-3</v>
      </c>
      <c r="I174">
        <v>1.6103641563658844E-2</v>
      </c>
      <c r="J174">
        <v>2.3129807196341945E-2</v>
      </c>
      <c r="K174">
        <v>2.5142667528972318E-3</v>
      </c>
      <c r="Z174" s="1">
        <f t="shared" si="62"/>
        <v>42034</v>
      </c>
      <c r="AA174">
        <f t="shared" si="63"/>
        <v>312.33064379472597</v>
      </c>
      <c r="AB174">
        <f t="shared" si="64"/>
        <v>165.50521707549271</v>
      </c>
      <c r="AC174">
        <f t="shared" si="65"/>
        <v>442.38900000000052</v>
      </c>
      <c r="AD174">
        <f t="shared" si="66"/>
        <v>205.31747983682897</v>
      </c>
      <c r="AE174">
        <f t="shared" si="67"/>
        <v>282.24099999999987</v>
      </c>
      <c r="AF174">
        <f t="shared" si="68"/>
        <v>241.75866995713744</v>
      </c>
      <c r="AG174">
        <f t="shared" si="69"/>
        <v>241.68478231437763</v>
      </c>
      <c r="AH174">
        <f t="shared" si="70"/>
        <v>292.4022146367426</v>
      </c>
      <c r="AI174">
        <f t="shared" si="71"/>
        <v>196.92471213888103</v>
      </c>
      <c r="AK174">
        <f t="shared" ref="AK174:AK186" si="76">AA174/AA173-1</f>
        <v>3.223589931152171E-2</v>
      </c>
    </row>
    <row r="175" spans="1:43" x14ac:dyDescent="0.2">
      <c r="A175">
        <f t="shared" si="61"/>
        <v>171</v>
      </c>
      <c r="B175" s="1">
        <v>42062</v>
      </c>
      <c r="C175">
        <v>6.9222284313680493E-2</v>
      </c>
      <c r="D175" s="212">
        <v>5.8938952949601608E-2</v>
      </c>
      <c r="E175">
        <v>3.2857959849815543E-2</v>
      </c>
      <c r="F175">
        <v>3.6948152798889522E-2</v>
      </c>
      <c r="G175">
        <v>-1.2808202918782041E-2</v>
      </c>
      <c r="H175">
        <v>1.0566091799638189E-2</v>
      </c>
      <c r="I175">
        <v>2.7981751185661707E-3</v>
      </c>
      <c r="J175">
        <v>-6.3597392202469072E-3</v>
      </c>
      <c r="K175">
        <v>2.0897326483941825E-3</v>
      </c>
      <c r="Z175" s="1">
        <f t="shared" si="62"/>
        <v>42062</v>
      </c>
      <c r="AA175">
        <f t="shared" si="63"/>
        <v>333.95088441935934</v>
      </c>
      <c r="AB175">
        <f t="shared" si="64"/>
        <v>175.25992127761879</v>
      </c>
      <c r="AC175">
        <f t="shared" si="65"/>
        <v>456.92500000000058</v>
      </c>
      <c r="AD175">
        <f t="shared" si="66"/>
        <v>212.90358145412304</v>
      </c>
      <c r="AE175">
        <f t="shared" si="67"/>
        <v>278.62599999999992</v>
      </c>
      <c r="AF175">
        <f t="shared" si="68"/>
        <v>244.31311425726298</v>
      </c>
      <c r="AG175">
        <f t="shared" si="69"/>
        <v>242.36105865878579</v>
      </c>
      <c r="AH175">
        <f t="shared" si="70"/>
        <v>290.54261280423026</v>
      </c>
      <c r="AI175">
        <f t="shared" si="71"/>
        <v>197.33623213911329</v>
      </c>
      <c r="AK175">
        <f t="shared" si="76"/>
        <v>6.9222284313680493E-2</v>
      </c>
    </row>
    <row r="176" spans="1:43" x14ac:dyDescent="0.2">
      <c r="A176">
        <f t="shared" si="61"/>
        <v>172</v>
      </c>
      <c r="B176" s="1">
        <v>42094</v>
      </c>
      <c r="C176">
        <v>-5.1737509909355328E-4</v>
      </c>
      <c r="D176" s="212">
        <v>-4.3083278563288419E-3</v>
      </c>
      <c r="E176">
        <v>1.4225529353832922E-3</v>
      </c>
      <c r="F176">
        <v>-2.114793997793174E-2</v>
      </c>
      <c r="G176">
        <v>-1.11834502164192E-2</v>
      </c>
      <c r="H176">
        <v>5.989827925357627E-3</v>
      </c>
      <c r="I176">
        <v>7.5970383792796081E-3</v>
      </c>
      <c r="J176">
        <v>9.7230614333279064E-3</v>
      </c>
      <c r="K176">
        <v>2.052870174915844E-3</v>
      </c>
      <c r="Z176" s="1">
        <f t="shared" si="62"/>
        <v>42094</v>
      </c>
      <c r="AA176">
        <f t="shared" si="63"/>
        <v>333.77810654744047</v>
      </c>
      <c r="AB176">
        <f t="shared" si="64"/>
        <v>174.50484407668043</v>
      </c>
      <c r="AC176">
        <f t="shared" si="65"/>
        <v>457.57500000000061</v>
      </c>
      <c r="AD176">
        <f t="shared" si="66"/>
        <v>208.40110929244454</v>
      </c>
      <c r="AE176">
        <f t="shared" si="67"/>
        <v>275.50999999999988</v>
      </c>
      <c r="AF176">
        <f t="shared" si="68"/>
        <v>245.77650777157223</v>
      </c>
      <c r="AG176">
        <f t="shared" si="69"/>
        <v>244.20228492305944</v>
      </c>
      <c r="AH176">
        <f t="shared" si="70"/>
        <v>293.3675764775254</v>
      </c>
      <c r="AI176">
        <f t="shared" si="71"/>
        <v>197.74133780450194</v>
      </c>
      <c r="AK176">
        <f t="shared" si="76"/>
        <v>-5.173750990936643E-4</v>
      </c>
    </row>
    <row r="177" spans="1:37" x14ac:dyDescent="0.2">
      <c r="A177">
        <f t="shared" si="61"/>
        <v>173</v>
      </c>
      <c r="B177" s="1">
        <v>42124</v>
      </c>
      <c r="C177">
        <v>-1.6474947430247577E-2</v>
      </c>
      <c r="D177" s="212">
        <v>1.0413133513668127E-2</v>
      </c>
      <c r="E177">
        <v>5.6779762880402096E-2</v>
      </c>
      <c r="F177">
        <v>-1.224097797600654E-2</v>
      </c>
      <c r="G177">
        <v>9.6257849079888214E-3</v>
      </c>
      <c r="H177">
        <v>2.1139042049078682E-4</v>
      </c>
      <c r="I177">
        <v>-1.1079881710328476E-2</v>
      </c>
      <c r="J177">
        <v>-5.0966304159854037E-3</v>
      </c>
      <c r="K177">
        <v>1.7972225849973711E-3</v>
      </c>
      <c r="Z177" s="1">
        <f t="shared" si="62"/>
        <v>42124</v>
      </c>
      <c r="AA177">
        <f t="shared" si="63"/>
        <v>328.27912978870381</v>
      </c>
      <c r="AB177">
        <f t="shared" si="64"/>
        <v>176.32198631683275</v>
      </c>
      <c r="AC177">
        <f t="shared" si="65"/>
        <v>483.55600000000067</v>
      </c>
      <c r="AD177">
        <f t="shared" si="66"/>
        <v>205.85007590342039</v>
      </c>
      <c r="AE177">
        <f t="shared" si="67"/>
        <v>278.16199999999986</v>
      </c>
      <c r="AF177">
        <f t="shared" si="68"/>
        <v>245.82846257089682</v>
      </c>
      <c r="AG177">
        <f t="shared" si="69"/>
        <v>241.49655249272001</v>
      </c>
      <c r="AH177">
        <f t="shared" si="70"/>
        <v>291.87239036418612</v>
      </c>
      <c r="AI177">
        <f t="shared" si="71"/>
        <v>198.09672300279178</v>
      </c>
      <c r="AK177">
        <f t="shared" si="76"/>
        <v>-1.6474947430247577E-2</v>
      </c>
    </row>
    <row r="178" spans="1:37" x14ac:dyDescent="0.2">
      <c r="A178">
        <f t="shared" si="61"/>
        <v>174</v>
      </c>
      <c r="B178" s="1">
        <v>42153</v>
      </c>
      <c r="C178">
        <v>4.2871454329811431E-3</v>
      </c>
      <c r="D178" s="212">
        <v>1.2676782001825426E-2</v>
      </c>
      <c r="E178">
        <v>-2.5136695646419405E-2</v>
      </c>
      <c r="F178">
        <v>3.1076448970847714E-2</v>
      </c>
      <c r="G178">
        <v>-3.6777129873958314E-3</v>
      </c>
      <c r="H178">
        <v>8.2600961623136016E-3</v>
      </c>
      <c r="I178">
        <v>3.6174364449448326E-4</v>
      </c>
      <c r="J178">
        <v>-4.0175130774150469E-3</v>
      </c>
      <c r="K178">
        <v>2.0026329620910222E-3</v>
      </c>
      <c r="Z178" s="1">
        <f t="shared" si="62"/>
        <v>42153</v>
      </c>
      <c r="AA178">
        <f t="shared" si="63"/>
        <v>329.6865101607205</v>
      </c>
      <c r="AB178">
        <f t="shared" si="64"/>
        <v>178.55718169950009</v>
      </c>
      <c r="AC178">
        <f t="shared" si="65"/>
        <v>471.40100000000069</v>
      </c>
      <c r="AD178">
        <f t="shared" si="66"/>
        <v>212.24716528287817</v>
      </c>
      <c r="AE178">
        <f t="shared" si="67"/>
        <v>277.13899999999984</v>
      </c>
      <c r="AF178">
        <f t="shared" si="68"/>
        <v>247.85902931116613</v>
      </c>
      <c r="AG178">
        <f t="shared" si="69"/>
        <v>241.58391233575159</v>
      </c>
      <c r="AH178">
        <f t="shared" si="70"/>
        <v>290.6997892189616</v>
      </c>
      <c r="AI178">
        <f t="shared" si="71"/>
        <v>198.49343802995938</v>
      </c>
      <c r="AK178">
        <f t="shared" si="76"/>
        <v>4.2871454329811431E-3</v>
      </c>
    </row>
    <row r="179" spans="1:37" x14ac:dyDescent="0.2">
      <c r="A179">
        <f t="shared" si="61"/>
        <v>175</v>
      </c>
      <c r="B179" s="1">
        <v>42185</v>
      </c>
      <c r="C179">
        <v>-5.315258716397242E-2</v>
      </c>
      <c r="D179" s="212">
        <v>-2.9415305590111962E-2</v>
      </c>
      <c r="E179">
        <v>-2.2568895696021052E-2</v>
      </c>
      <c r="F179">
        <v>-4.2606496261992199E-2</v>
      </c>
      <c r="G179">
        <v>-4.2256773676746961E-2</v>
      </c>
      <c r="H179">
        <v>-1.3135830072666277E-2</v>
      </c>
      <c r="I179">
        <v>-9.2566986270272711E-3</v>
      </c>
      <c r="J179">
        <v>-1.0407652540419532E-2</v>
      </c>
      <c r="K179">
        <v>1.7589488313731749E-3</v>
      </c>
      <c r="Z179" s="1">
        <f t="shared" si="62"/>
        <v>42185</v>
      </c>
      <c r="AA179">
        <f t="shared" si="63"/>
        <v>312.16281919261695</v>
      </c>
      <c r="AB179">
        <f t="shared" si="64"/>
        <v>173.30486763450014</v>
      </c>
      <c r="AC179">
        <f t="shared" si="65"/>
        <v>460.76200000000068</v>
      </c>
      <c r="AD179">
        <f t="shared" si="66"/>
        <v>203.20405722863478</v>
      </c>
      <c r="AE179">
        <f t="shared" si="67"/>
        <v>265.42799999999988</v>
      </c>
      <c r="AF179">
        <f t="shared" si="68"/>
        <v>244.60319522015863</v>
      </c>
      <c r="AG179">
        <f t="shared" si="69"/>
        <v>239.34764286612136</v>
      </c>
      <c r="AH179">
        <f t="shared" si="70"/>
        <v>287.67428681919745</v>
      </c>
      <c r="AI179">
        <f t="shared" si="71"/>
        <v>198.84257783081742</v>
      </c>
      <c r="AK179">
        <f t="shared" si="76"/>
        <v>-5.3152587163972309E-2</v>
      </c>
    </row>
    <row r="180" spans="1:37" x14ac:dyDescent="0.2">
      <c r="A180">
        <f t="shared" si="61"/>
        <v>176</v>
      </c>
      <c r="B180" s="1">
        <v>42216</v>
      </c>
      <c r="C180">
        <v>4.3134148523510829E-2</v>
      </c>
      <c r="D180" s="212">
        <v>2.4938858549438336E-2</v>
      </c>
      <c r="E180">
        <v>-4.3573471770675498E-2</v>
      </c>
      <c r="F180">
        <v>5.724027979499513E-2</v>
      </c>
      <c r="G180">
        <v>3.8485012884849956E-2</v>
      </c>
      <c r="H180">
        <v>8.7262815066553312E-3</v>
      </c>
      <c r="I180">
        <v>1.3000126109606658E-2</v>
      </c>
      <c r="J180">
        <v>1.4113432533866099E-2</v>
      </c>
      <c r="K180">
        <v>1.8036206657969789E-3</v>
      </c>
      <c r="Z180" s="1">
        <f t="shared" si="62"/>
        <v>42216</v>
      </c>
      <c r="AA180">
        <f t="shared" si="63"/>
        <v>325.62769659918916</v>
      </c>
      <c r="AB180">
        <f t="shared" si="64"/>
        <v>177.62689321436608</v>
      </c>
      <c r="AC180">
        <f t="shared" si="65"/>
        <v>440.68500000000068</v>
      </c>
      <c r="AD180">
        <f t="shared" si="66"/>
        <v>214.83551431988005</v>
      </c>
      <c r="AE180">
        <f t="shared" si="67"/>
        <v>275.64299999999986</v>
      </c>
      <c r="AF180">
        <f t="shared" si="68"/>
        <v>246.73767155907709</v>
      </c>
      <c r="AG180">
        <f t="shared" si="69"/>
        <v>242.45919240741804</v>
      </c>
      <c r="AH180">
        <f t="shared" si="70"/>
        <v>291.73435845794825</v>
      </c>
      <c r="AI180">
        <f t="shared" si="71"/>
        <v>199.20121441343343</v>
      </c>
      <c r="AK180">
        <f t="shared" si="76"/>
        <v>4.3134148523510829E-2</v>
      </c>
    </row>
    <row r="181" spans="1:37" x14ac:dyDescent="0.2">
      <c r="A181">
        <f t="shared" si="61"/>
        <v>177</v>
      </c>
      <c r="B181" s="1">
        <v>42247</v>
      </c>
      <c r="C181">
        <v>-7.697734854798699E-2</v>
      </c>
      <c r="D181" s="212">
        <v>-6.6538112228080259E-2</v>
      </c>
      <c r="E181">
        <v>-6.4901233307237627E-2</v>
      </c>
      <c r="F181">
        <v>-4.1343128624382719E-2</v>
      </c>
      <c r="G181">
        <v>-5.2364834223977974E-2</v>
      </c>
      <c r="H181">
        <v>-1.9881029672393025E-2</v>
      </c>
      <c r="I181">
        <v>6.3707992300119365E-3</v>
      </c>
      <c r="J181">
        <v>-2.6544537731298945E-4</v>
      </c>
      <c r="K181">
        <v>1.80943568471581E-3</v>
      </c>
      <c r="Z181" s="1">
        <f t="shared" si="62"/>
        <v>42247</v>
      </c>
      <c r="AA181">
        <f t="shared" si="63"/>
        <v>300.56173990119521</v>
      </c>
      <c r="AB181">
        <f t="shared" si="64"/>
        <v>165.80793505894337</v>
      </c>
      <c r="AC181">
        <f t="shared" si="65"/>
        <v>412.08400000000063</v>
      </c>
      <c r="AD181">
        <f t="shared" si="66"/>
        <v>205.95354201826783</v>
      </c>
      <c r="AE181">
        <f t="shared" si="67"/>
        <v>261.20899999999989</v>
      </c>
      <c r="AF181">
        <f t="shared" si="68"/>
        <v>241.83227258951391</v>
      </c>
      <c r="AG181">
        <f t="shared" si="69"/>
        <v>244.00385124371653</v>
      </c>
      <c r="AH181">
        <f t="shared" si="70"/>
        <v>291.6569189210922</v>
      </c>
      <c r="AI181">
        <f t="shared" si="71"/>
        <v>199.56165619923183</v>
      </c>
      <c r="AK181">
        <f t="shared" si="76"/>
        <v>-7.697734854798699E-2</v>
      </c>
    </row>
    <row r="182" spans="1:37" x14ac:dyDescent="0.2">
      <c r="A182">
        <f t="shared" si="61"/>
        <v>178</v>
      </c>
      <c r="B182" s="1">
        <v>42277</v>
      </c>
      <c r="C182">
        <v>-2.8578776439352582E-2</v>
      </c>
      <c r="D182" s="212">
        <v>-3.549369332196306E-2</v>
      </c>
      <c r="E182">
        <v>-1.7110589103192519E-2</v>
      </c>
      <c r="F182">
        <v>-3.1789693880073244E-3</v>
      </c>
      <c r="G182">
        <v>-8.1850165959059806E-3</v>
      </c>
      <c r="H182">
        <v>-1.4089802348897007E-2</v>
      </c>
      <c r="I182">
        <v>2.5002280739729876E-3</v>
      </c>
      <c r="J182">
        <v>1.0317046938542962E-2</v>
      </c>
      <c r="K182">
        <v>1.7618523082705284E-3</v>
      </c>
      <c r="Z182" s="1">
        <f t="shared" si="62"/>
        <v>42277</v>
      </c>
      <c r="AA182">
        <f t="shared" si="63"/>
        <v>291.97205313033612</v>
      </c>
      <c r="AB182">
        <f t="shared" si="64"/>
        <v>159.92279906161326</v>
      </c>
      <c r="AC182">
        <f t="shared" si="65"/>
        <v>405.03300000000064</v>
      </c>
      <c r="AD182">
        <f t="shared" si="66"/>
        <v>205.29882201284008</v>
      </c>
      <c r="AE182">
        <f t="shared" si="67"/>
        <v>259.07099999999991</v>
      </c>
      <c r="AF182">
        <f t="shared" si="68"/>
        <v>238.42490366714307</v>
      </c>
      <c r="AG182">
        <f t="shared" si="69"/>
        <v>244.61391652275358</v>
      </c>
      <c r="AH182">
        <f t="shared" si="70"/>
        <v>294.66595704355194</v>
      </c>
      <c r="AI182">
        <f t="shared" si="71"/>
        <v>199.91325436384875</v>
      </c>
      <c r="AK182">
        <f t="shared" si="76"/>
        <v>-2.8578776439352582E-2</v>
      </c>
    </row>
    <row r="183" spans="1:37" x14ac:dyDescent="0.2">
      <c r="A183">
        <f t="shared" si="61"/>
        <v>179</v>
      </c>
      <c r="B183" s="1">
        <v>42307</v>
      </c>
      <c r="C183">
        <v>4.4204664269559268E-2</v>
      </c>
      <c r="D183" s="212">
        <v>7.8740742263827102E-2</v>
      </c>
      <c r="E183">
        <v>5.4244962756121007E-2</v>
      </c>
      <c r="F183">
        <v>5.0290407065608056E-2</v>
      </c>
      <c r="G183">
        <v>4.3107873903292848E-2</v>
      </c>
      <c r="H183">
        <v>5.2661206849589082E-3</v>
      </c>
      <c r="I183">
        <v>2.9917656532578718E-3</v>
      </c>
      <c r="J183">
        <v>4.2555486181812263E-3</v>
      </c>
      <c r="K183">
        <v>1.8910784569130534E-3</v>
      </c>
      <c r="Z183" s="1">
        <f t="shared" si="62"/>
        <v>42307</v>
      </c>
      <c r="AA183">
        <f t="shared" si="63"/>
        <v>304.87857971505656</v>
      </c>
      <c r="AB183">
        <f t="shared" si="64"/>
        <v>172.51523896463357</v>
      </c>
      <c r="AC183">
        <f t="shared" si="65"/>
        <v>427.00400000000064</v>
      </c>
      <c r="AD183">
        <f t="shared" si="66"/>
        <v>215.62338334195562</v>
      </c>
      <c r="AE183">
        <f t="shared" si="67"/>
        <v>270.23899999999986</v>
      </c>
      <c r="AF183">
        <f t="shared" si="68"/>
        <v>239.68047798415395</v>
      </c>
      <c r="AG183">
        <f t="shared" si="69"/>
        <v>245.34574403651524</v>
      </c>
      <c r="AH183">
        <f t="shared" si="70"/>
        <v>295.91992234987367</v>
      </c>
      <c r="AI183">
        <f t="shared" si="71"/>
        <v>200.29130601242761</v>
      </c>
      <c r="AK183">
        <f t="shared" si="76"/>
        <v>4.4204664269559268E-2</v>
      </c>
    </row>
    <row r="184" spans="1:37" x14ac:dyDescent="0.2">
      <c r="A184">
        <f t="shared" si="61"/>
        <v>180</v>
      </c>
      <c r="B184" s="1">
        <v>42338</v>
      </c>
      <c r="C184">
        <v>-6.8165581202057623E-3</v>
      </c>
      <c r="D184" s="212">
        <v>6.4067057612273715E-3</v>
      </c>
      <c r="E184">
        <v>-2.6875626457831814E-2</v>
      </c>
      <c r="F184">
        <v>-2.8834051791951198E-2</v>
      </c>
      <c r="G184">
        <v>-2.1743715747911896E-2</v>
      </c>
      <c r="H184">
        <v>2.0412218428800255E-3</v>
      </c>
      <c r="I184">
        <v>-8.7592802843062811E-3</v>
      </c>
      <c r="J184">
        <v>2.023979810017007E-3</v>
      </c>
      <c r="K184">
        <v>1.667043605446894E-3</v>
      </c>
      <c r="Z184" s="1">
        <f t="shared" si="62"/>
        <v>42338</v>
      </c>
      <c r="AA184">
        <f t="shared" si="63"/>
        <v>302.80035715682311</v>
      </c>
      <c r="AB184">
        <f t="shared" si="64"/>
        <v>173.62049334000781</v>
      </c>
      <c r="AC184">
        <f t="shared" si="65"/>
        <v>415.52800000000059</v>
      </c>
      <c r="AD184">
        <f t="shared" si="66"/>
        <v>209.40608753911792</v>
      </c>
      <c r="AE184">
        <f t="shared" si="67"/>
        <v>264.36299999999989</v>
      </c>
      <c r="AF184">
        <f t="shared" si="68"/>
        <v>240.16971901112714</v>
      </c>
      <c r="AG184">
        <f t="shared" si="69"/>
        <v>243.19669189793774</v>
      </c>
      <c r="AH184">
        <f t="shared" si="70"/>
        <v>296.51885829809163</v>
      </c>
      <c r="AI184">
        <f t="shared" si="71"/>
        <v>200.62520035334222</v>
      </c>
      <c r="AK184">
        <f t="shared" si="76"/>
        <v>-6.8165581202056513E-3</v>
      </c>
    </row>
    <row r="185" spans="1:37" x14ac:dyDescent="0.2">
      <c r="A185">
        <f t="shared" si="61"/>
        <v>181</v>
      </c>
      <c r="B185" s="1">
        <v>42369</v>
      </c>
      <c r="C185">
        <v>2.728074787983692E-2</v>
      </c>
      <c r="D185" s="212">
        <v>-2.1574593077145598E-2</v>
      </c>
      <c r="E185" s="129">
        <v>-1.0709266282898033E-2</v>
      </c>
      <c r="F185" s="129">
        <v>3.7502480590643872E-2</v>
      </c>
      <c r="G185" s="129">
        <v>-2.1160298528916655E-2</v>
      </c>
      <c r="H185" s="129">
        <v>-8.4907701182579398E-3</v>
      </c>
      <c r="I185" s="129">
        <v>3.3283328450042227E-3</v>
      </c>
      <c r="J185" s="128">
        <v>1.2396330040664871E-4</v>
      </c>
      <c r="K185" s="128">
        <v>1.9155021730612454E-3</v>
      </c>
      <c r="Z185" s="1">
        <f t="shared" si="62"/>
        <v>42369</v>
      </c>
      <c r="AA185">
        <f t="shared" si="63"/>
        <v>311.060977358343</v>
      </c>
      <c r="AB185">
        <f t="shared" si="64"/>
        <v>169.87470184634387</v>
      </c>
      <c r="AC185">
        <f t="shared" si="65"/>
        <v>411.07800000000054</v>
      </c>
      <c r="AD185">
        <f t="shared" si="66"/>
        <v>217.25933527261637</v>
      </c>
      <c r="AE185">
        <f t="shared" si="67"/>
        <v>258.76899999999989</v>
      </c>
      <c r="AF185">
        <f t="shared" si="68"/>
        <v>238.13049313763705</v>
      </c>
      <c r="AG185">
        <f t="shared" si="69"/>
        <v>244.00613143537802</v>
      </c>
      <c r="AH185">
        <f t="shared" si="70"/>
        <v>296.55561575439907</v>
      </c>
      <c r="AI185">
        <f t="shared" si="71"/>
        <v>201.0094983605899</v>
      </c>
      <c r="AK185">
        <f t="shared" si="76"/>
        <v>2.728074787983692E-2</v>
      </c>
    </row>
    <row r="186" spans="1:37" x14ac:dyDescent="0.2">
      <c r="A186">
        <f t="shared" si="61"/>
        <v>182</v>
      </c>
      <c r="B186" s="1">
        <v>42398</v>
      </c>
      <c r="C186">
        <v>-5.4497286984208082E-2</v>
      </c>
      <c r="D186" s="212">
        <v>-5.4146099764103561E-2</v>
      </c>
      <c r="E186" s="129">
        <v>-5.223582872350252E-2</v>
      </c>
      <c r="F186" s="129">
        <v>1.3154967073546686E-2</v>
      </c>
      <c r="G186" s="129">
        <v>5.8507781071148734E-3</v>
      </c>
      <c r="H186" s="129">
        <v>-1.410883438482935E-2</v>
      </c>
      <c r="I186" s="129">
        <v>1.2222080881926223E-2</v>
      </c>
      <c r="J186" s="128">
        <v>2.149528336144213E-2</v>
      </c>
      <c r="K186" s="128">
        <v>2.0100609123394619E-3</v>
      </c>
      <c r="Z186" s="1">
        <f t="shared" si="62"/>
        <v>42398</v>
      </c>
      <c r="AA186">
        <f t="shared" si="63"/>
        <v>294.1089980056571</v>
      </c>
      <c r="AB186">
        <f t="shared" si="64"/>
        <v>160.67664929277439</v>
      </c>
      <c r="AC186">
        <f t="shared" si="65"/>
        <v>389.60500000000053</v>
      </c>
      <c r="AD186">
        <f t="shared" si="66"/>
        <v>220.11737467454827</v>
      </c>
      <c r="AE186">
        <f t="shared" si="67"/>
        <v>260.2829999999999</v>
      </c>
      <c r="AF186">
        <f t="shared" si="68"/>
        <v>234.77074944798039</v>
      </c>
      <c r="AG186">
        <f t="shared" si="69"/>
        <v>246.98839410946712</v>
      </c>
      <c r="AH186">
        <f t="shared" si="70"/>
        <v>302.93016274746685</v>
      </c>
      <c r="AI186">
        <f t="shared" si="71"/>
        <v>201.41353969625348</v>
      </c>
      <c r="AK186">
        <f t="shared" si="76"/>
        <v>-5.4497286984208193E-2</v>
      </c>
    </row>
    <row r="187" spans="1:37" x14ac:dyDescent="0.2">
      <c r="A187">
        <f t="shared" si="61"/>
        <v>183</v>
      </c>
      <c r="B187" s="1">
        <v>42429</v>
      </c>
      <c r="C187">
        <v>-1.7247140914659176E-2</v>
      </c>
      <c r="D187" s="212">
        <v>-1.5335762073472647E-2</v>
      </c>
      <c r="E187" s="129">
        <v>6.4680894752378038E-4</v>
      </c>
      <c r="F187" s="129">
        <v>3.0198769394367941E-2</v>
      </c>
      <c r="G187" s="129">
        <v>6.0280540795980553E-3</v>
      </c>
      <c r="H187" s="129">
        <v>-1.084370677731672E-2</v>
      </c>
      <c r="I187" s="129">
        <v>1.0343393843954773E-2</v>
      </c>
      <c r="J187" s="128">
        <v>1.4049494591693357E-2</v>
      </c>
      <c r="K187" s="128">
        <v>1.7788323736693812E-3</v>
      </c>
      <c r="Z187" s="1">
        <f t="shared" si="62"/>
        <v>42429</v>
      </c>
      <c r="AA187">
        <f t="shared" si="63"/>
        <v>289.03645867278431</v>
      </c>
      <c r="AB187">
        <f t="shared" si="64"/>
        <v>158.2125504284576</v>
      </c>
      <c r="AC187">
        <f t="shared" si="65"/>
        <v>389.85700000000054</v>
      </c>
      <c r="AD187">
        <f t="shared" si="66"/>
        <v>226.76464851203863</v>
      </c>
      <c r="AE187">
        <f t="shared" si="67"/>
        <v>261.85199999999992</v>
      </c>
      <c r="AF187">
        <f t="shared" si="68"/>
        <v>232.22496428107561</v>
      </c>
      <c r="AG187">
        <f t="shared" si="69"/>
        <v>249.54309234462727</v>
      </c>
      <c r="AH187">
        <f t="shared" si="70"/>
        <v>307.18617843064817</v>
      </c>
      <c r="AI187">
        <f t="shared" si="71"/>
        <v>201.77182062116051</v>
      </c>
    </row>
    <row r="188" spans="1:37" x14ac:dyDescent="0.2">
      <c r="A188">
        <f t="shared" si="61"/>
        <v>184</v>
      </c>
      <c r="B188" s="1">
        <v>42460</v>
      </c>
      <c r="C188">
        <v>4.7761546062259574E-2</v>
      </c>
      <c r="D188" s="212">
        <v>5.2654697603085276E-2</v>
      </c>
      <c r="E188" s="129">
        <v>8.3271558545825686E-2</v>
      </c>
      <c r="F188" s="129">
        <v>2.3666249041644161E-2</v>
      </c>
      <c r="G188" s="129">
        <v>5.2923025220353415E-2</v>
      </c>
      <c r="H188" s="129">
        <v>2.8525085295598718E-3</v>
      </c>
      <c r="I188" s="129">
        <v>-2.131885166716585E-3</v>
      </c>
      <c r="J188" s="128">
        <v>6.5379069910203036E-3</v>
      </c>
      <c r="K188" s="128">
        <v>1.9806368696819732E-3</v>
      </c>
      <c r="Z188" s="1">
        <f t="shared" si="62"/>
        <v>42460</v>
      </c>
      <c r="AA188">
        <f t="shared" si="63"/>
        <v>302.84128680735688</v>
      </c>
      <c r="AB188">
        <f t="shared" si="64"/>
        <v>166.54318442828091</v>
      </c>
      <c r="AC188">
        <f t="shared" si="65"/>
        <v>422.32100000000054</v>
      </c>
      <c r="AD188">
        <f t="shared" si="66"/>
        <v>232.13131715756543</v>
      </c>
      <c r="AE188">
        <f t="shared" si="67"/>
        <v>275.70999999999992</v>
      </c>
      <c r="AF188">
        <f t="shared" si="68"/>
        <v>232.88738797246413</v>
      </c>
      <c r="AG188">
        <f t="shared" si="69"/>
        <v>249.01109512760118</v>
      </c>
      <c r="AH188">
        <f t="shared" si="70"/>
        <v>309.19453309415474</v>
      </c>
      <c r="AI188">
        <f t="shared" si="71"/>
        <v>202.17145732834564</v>
      </c>
    </row>
    <row r="189" spans="1:37" x14ac:dyDescent="0.2">
      <c r="A189">
        <f t="shared" si="61"/>
        <v>185</v>
      </c>
      <c r="B189" s="1">
        <v>42489</v>
      </c>
      <c r="C189">
        <v>3.3397645382714058E-2</v>
      </c>
      <c r="D189" s="212">
        <v>8.5884768714650228E-3</v>
      </c>
      <c r="E189" s="129">
        <v>-7.7429254050831453E-4</v>
      </c>
      <c r="F189" s="129">
        <v>2.7236558000533373E-2</v>
      </c>
      <c r="G189" s="129">
        <v>1.5741177324000155E-3</v>
      </c>
      <c r="H189" s="129">
        <v>3.3835285369028245E-3</v>
      </c>
      <c r="I189" s="129">
        <v>2.5871925555518427E-3</v>
      </c>
      <c r="J189" s="128">
        <v>4.6190348817631843E-4</v>
      </c>
      <c r="K189" s="128">
        <v>1.9894924596193242E-3</v>
      </c>
      <c r="Z189" s="1">
        <f t="shared" si="62"/>
        <v>42489</v>
      </c>
      <c r="AA189">
        <f t="shared" si="63"/>
        <v>312.95547271139378</v>
      </c>
      <c r="AB189">
        <f t="shared" si="64"/>
        <v>167.97353671584332</v>
      </c>
      <c r="AC189">
        <f t="shared" si="65"/>
        <v>421.99400000000054</v>
      </c>
      <c r="AD189">
        <f t="shared" si="66"/>
        <v>238.45377524106766</v>
      </c>
      <c r="AE189">
        <f t="shared" si="67"/>
        <v>276.14399999999995</v>
      </c>
      <c r="AF189">
        <f t="shared" si="68"/>
        <v>233.67536909555372</v>
      </c>
      <c r="AG189">
        <f t="shared" si="69"/>
        <v>249.65533477916512</v>
      </c>
      <c r="AH189">
        <f t="shared" si="70"/>
        <v>309.337351127516</v>
      </c>
      <c r="AI189">
        <f t="shared" si="71"/>
        <v>202.57367591825064</v>
      </c>
    </row>
    <row r="190" spans="1:37" x14ac:dyDescent="0.2">
      <c r="A190">
        <f t="shared" si="61"/>
        <v>186</v>
      </c>
      <c r="B190" s="1">
        <v>42521</v>
      </c>
      <c r="C190">
        <v>3.1363232253898143E-2</v>
      </c>
      <c r="D190" s="212">
        <v>1.7612127643660047E-2</v>
      </c>
      <c r="E190" s="129">
        <v>-8.0569865922265338E-3</v>
      </c>
      <c r="F190" s="129">
        <v>2.5977351618960975E-2</v>
      </c>
      <c r="G190" s="129">
        <v>1.0642997856190828E-2</v>
      </c>
      <c r="H190" s="129">
        <v>3.5759282590972497E-3</v>
      </c>
      <c r="I190" s="129">
        <v>1.2560537041476971E-2</v>
      </c>
      <c r="J190" s="128">
        <v>7.1339186360706019E-3</v>
      </c>
      <c r="K190" s="128">
        <v>1.9351063237087462E-3</v>
      </c>
      <c r="Z190" s="1">
        <f t="shared" si="62"/>
        <v>42521</v>
      </c>
      <c r="AA190">
        <f t="shared" si="63"/>
        <v>322.77076788716971</v>
      </c>
      <c r="AB190">
        <f t="shared" si="64"/>
        <v>170.93190808523977</v>
      </c>
      <c r="AC190">
        <f t="shared" si="65"/>
        <v>418.59400000000051</v>
      </c>
      <c r="AD190">
        <f t="shared" si="66"/>
        <v>244.64817280537358</v>
      </c>
      <c r="AE190">
        <f t="shared" si="67"/>
        <v>279.08299999999991</v>
      </c>
      <c r="AF190">
        <f t="shared" si="68"/>
        <v>234.5109754513575</v>
      </c>
      <c r="AG190">
        <f t="shared" si="69"/>
        <v>252.79113985926116</v>
      </c>
      <c r="AH190">
        <f t="shared" si="70"/>
        <v>311.54413862155729</v>
      </c>
      <c r="AI190">
        <f t="shared" si="71"/>
        <v>202.96567751953697</v>
      </c>
    </row>
    <row r="191" spans="1:37" x14ac:dyDescent="0.2">
      <c r="A191">
        <f t="shared" si="61"/>
        <v>187</v>
      </c>
      <c r="B191" s="1">
        <v>42551</v>
      </c>
      <c r="C191">
        <v>-2.4422295367439006E-2</v>
      </c>
      <c r="D191" s="212">
        <v>-1.315835564771628E-2</v>
      </c>
      <c r="E191" s="129">
        <v>1.5927127479132608E-2</v>
      </c>
      <c r="F191" s="129">
        <v>3.6565073906652978E-2</v>
      </c>
      <c r="G191" s="129">
        <v>4.4001246940874372E-2</v>
      </c>
      <c r="H191" s="129">
        <v>-1.0154158589493756E-3</v>
      </c>
      <c r="I191" s="129">
        <v>1.3268510660416233E-2</v>
      </c>
      <c r="J191" s="128">
        <v>2.3440558117012511E-2</v>
      </c>
      <c r="K191" s="128">
        <v>1.6484131514098443E-3</v>
      </c>
      <c r="Z191" s="1">
        <f t="shared" si="62"/>
        <v>42551</v>
      </c>
      <c r="AA191">
        <f t="shared" si="63"/>
        <v>314.88796485785417</v>
      </c>
      <c r="AB191">
        <f t="shared" si="64"/>
        <v>168.68272524711142</v>
      </c>
      <c r="AC191">
        <f t="shared" si="65"/>
        <v>425.26100000000054</v>
      </c>
      <c r="AD191">
        <f t="shared" si="66"/>
        <v>253.59375132512966</v>
      </c>
      <c r="AE191">
        <f t="shared" si="67"/>
        <v>291.36299999999994</v>
      </c>
      <c r="AF191">
        <f t="shared" si="68"/>
        <v>234.2728492877865</v>
      </c>
      <c r="AG191">
        <f t="shared" si="69"/>
        <v>256.14530179334253</v>
      </c>
      <c r="AH191">
        <f t="shared" si="70"/>
        <v>318.84690710893051</v>
      </c>
      <c r="AI191">
        <f t="shared" si="71"/>
        <v>203.30024881164499</v>
      </c>
    </row>
    <row r="192" spans="1:37" x14ac:dyDescent="0.2">
      <c r="A192">
        <f t="shared" si="61"/>
        <v>188</v>
      </c>
      <c r="B192" s="1">
        <v>42580</v>
      </c>
      <c r="C192">
        <v>6.3592269984261485E-2</v>
      </c>
      <c r="D192" s="212">
        <v>4.1197528759276292E-2</v>
      </c>
      <c r="E192" s="129">
        <v>4.2366922901465154E-2</v>
      </c>
      <c r="F192" s="129">
        <v>5.4203732191826726E-2</v>
      </c>
      <c r="G192" s="129">
        <v>1.620658765869365E-2</v>
      </c>
      <c r="H192" s="129">
        <v>1.1458140824246676E-2</v>
      </c>
      <c r="I192" s="129">
        <v>7.3537863704307149E-3</v>
      </c>
      <c r="J192" s="128">
        <v>4.0324844361172563E-3</v>
      </c>
      <c r="K192" s="128">
        <v>1.7301524703314808E-3</v>
      </c>
      <c r="Z192" s="1">
        <f t="shared" si="62"/>
        <v>42580</v>
      </c>
      <c r="AA192">
        <f t="shared" si="63"/>
        <v>334.91240533388947</v>
      </c>
      <c r="AB192">
        <f t="shared" si="64"/>
        <v>175.63203667167238</v>
      </c>
      <c r="AC192">
        <f t="shared" si="65"/>
        <v>443.27800000000053</v>
      </c>
      <c r="AD192">
        <f t="shared" si="66"/>
        <v>267.3394791074777</v>
      </c>
      <c r="AE192">
        <f t="shared" si="67"/>
        <v>296.08499999999992</v>
      </c>
      <c r="AF192">
        <f t="shared" si="68"/>
        <v>236.95718058622347</v>
      </c>
      <c r="AG192">
        <f t="shared" si="69"/>
        <v>258.02893962252028</v>
      </c>
      <c r="AH192">
        <f t="shared" si="70"/>
        <v>320.13265229935138</v>
      </c>
      <c r="AI192">
        <f t="shared" si="71"/>
        <v>203.65198923934545</v>
      </c>
    </row>
    <row r="193" spans="1:35" x14ac:dyDescent="0.2">
      <c r="A193">
        <f t="shared" si="61"/>
        <v>189</v>
      </c>
      <c r="B193" s="1">
        <v>42613</v>
      </c>
      <c r="C193">
        <v>-1.5568544153719888E-2</v>
      </c>
      <c r="D193" s="212">
        <v>4.207263621560875E-3</v>
      </c>
      <c r="E193" s="129">
        <v>2.7594421559382631E-2</v>
      </c>
      <c r="F193" s="129">
        <v>-2.7465834253302512E-2</v>
      </c>
      <c r="G193" s="129">
        <v>-2.8150699967914639E-2</v>
      </c>
      <c r="H193" s="129">
        <v>4.6592362506852059E-3</v>
      </c>
      <c r="I193" s="129">
        <v>4.2183233059600589E-3</v>
      </c>
      <c r="J193" s="128">
        <v>-2.2255239459858522E-3</v>
      </c>
      <c r="K193" s="128">
        <v>1.689272066220715E-3</v>
      </c>
      <c r="Z193" s="1">
        <f t="shared" si="62"/>
        <v>42613</v>
      </c>
      <c r="AA193">
        <f t="shared" si="63"/>
        <v>329.69830676382026</v>
      </c>
      <c r="AB193">
        <f t="shared" si="64"/>
        <v>176.37096695034177</v>
      </c>
      <c r="AC193">
        <f t="shared" si="65"/>
        <v>455.51000000000056</v>
      </c>
      <c r="AD193">
        <f t="shared" si="66"/>
        <v>259.99677728494748</v>
      </c>
      <c r="AE193">
        <f t="shared" si="67"/>
        <v>287.74999999999994</v>
      </c>
      <c r="AF193">
        <f t="shared" si="68"/>
        <v>238.06122007187096</v>
      </c>
      <c r="AG193">
        <f t="shared" si="69"/>
        <v>259.11738911214212</v>
      </c>
      <c r="AH193">
        <f t="shared" si="70"/>
        <v>319.4201894157672</v>
      </c>
      <c r="AI193">
        <f t="shared" si="71"/>
        <v>203.99601285599778</v>
      </c>
    </row>
    <row r="194" spans="1:35" x14ac:dyDescent="0.2">
      <c r="A194">
        <f t="shared" si="61"/>
        <v>190</v>
      </c>
      <c r="B194" s="1">
        <v>42643</v>
      </c>
      <c r="C194">
        <v>5.1434234099598797E-3</v>
      </c>
      <c r="D194" s="212">
        <v>1.9492830228162727E-3</v>
      </c>
      <c r="E194" s="128">
        <v>4.425808434502132E-3</v>
      </c>
      <c r="F194" s="128">
        <v>-4.2959193658870687E-2</v>
      </c>
      <c r="G194" s="128">
        <v>2.0423979148566529E-2</v>
      </c>
      <c r="H194" s="129">
        <v>1.2367009184321986E-3</v>
      </c>
      <c r="I194" s="128">
        <v>-2.2481392187545524E-3</v>
      </c>
      <c r="J194" s="128">
        <v>4.9086917407503705E-4</v>
      </c>
      <c r="K194" s="128">
        <v>1.415932206734638E-3</v>
      </c>
      <c r="Z194" s="1">
        <f t="shared" si="62"/>
        <v>42643</v>
      </c>
      <c r="AA194">
        <f t="shared" si="63"/>
        <v>331.39408475305345</v>
      </c>
      <c r="AB194">
        <f t="shared" si="64"/>
        <v>176.71476388193577</v>
      </c>
      <c r="AC194">
        <f t="shared" si="65"/>
        <v>457.52600000000064</v>
      </c>
      <c r="AD194">
        <f t="shared" si="66"/>
        <v>248.82752537888115</v>
      </c>
      <c r="AE194">
        <f t="shared" si="67"/>
        <v>293.62699999999995</v>
      </c>
      <c r="AF194">
        <f t="shared" si="68"/>
        <v>238.35563060137693</v>
      </c>
      <c r="AG194">
        <f t="shared" si="69"/>
        <v>258.53485714741782</v>
      </c>
      <c r="AH194">
        <f t="shared" si="70"/>
        <v>319.57698294032861</v>
      </c>
      <c r="AI194">
        <f t="shared" si="71"/>
        <v>204.28485738064603</v>
      </c>
    </row>
    <row r="195" spans="1:35" x14ac:dyDescent="0.2">
      <c r="A195">
        <f t="shared" si="61"/>
        <v>191</v>
      </c>
      <c r="B195" s="1">
        <v>42674</v>
      </c>
      <c r="C195">
        <v>-2.17479377396399E-2</v>
      </c>
      <c r="D195" s="212">
        <v>-6.6915993127877327E-3</v>
      </c>
      <c r="E195" s="128">
        <v>6.1351704602581325E-3</v>
      </c>
      <c r="F195" s="128">
        <v>-7.7123381049761464E-2</v>
      </c>
      <c r="G195" s="128">
        <v>-1.0251100886498832E-2</v>
      </c>
      <c r="H195" s="129">
        <v>-1.7801028100195015E-3</v>
      </c>
      <c r="I195" s="128">
        <v>-1.2763934083563688E-2</v>
      </c>
      <c r="J195" s="128">
        <v>-1.1626513819065321E-2</v>
      </c>
      <c r="K195" s="128">
        <v>1.4612039131101096E-3</v>
      </c>
      <c r="Z195" s="1">
        <f t="shared" si="62"/>
        <v>42674</v>
      </c>
      <c r="AA195">
        <f t="shared" si="63"/>
        <v>324.18694683055907</v>
      </c>
      <c r="AB195">
        <f t="shared" si="64"/>
        <v>175.53225948938396</v>
      </c>
      <c r="AC195">
        <f t="shared" si="65"/>
        <v>460.33300000000071</v>
      </c>
      <c r="AD195">
        <f t="shared" si="66"/>
        <v>229.63710532341651</v>
      </c>
      <c r="AE195">
        <f t="shared" si="67"/>
        <v>290.61699999999996</v>
      </c>
      <c r="AF195">
        <f t="shared" si="68"/>
        <v>237.93133307355944</v>
      </c>
      <c r="AG195">
        <f t="shared" si="69"/>
        <v>255.23493527248462</v>
      </c>
      <c r="AH195">
        <f t="shared" si="70"/>
        <v>315.8614167319177</v>
      </c>
      <c r="AI195">
        <f t="shared" si="71"/>
        <v>204.58335921363977</v>
      </c>
    </row>
    <row r="196" spans="1:35" x14ac:dyDescent="0.2">
      <c r="A196">
        <f t="shared" si="61"/>
        <v>192</v>
      </c>
      <c r="B196" s="1">
        <v>42704</v>
      </c>
      <c r="C196">
        <v>2.804952825921303E-2</v>
      </c>
      <c r="D196" s="212">
        <v>2.6340821016960447E-2</v>
      </c>
      <c r="E196" s="128">
        <v>-2.1792919473511696E-2</v>
      </c>
      <c r="F196" s="128">
        <v>7.570945297150411E-3</v>
      </c>
      <c r="G196" s="128">
        <v>-1.6296362566539546E-2</v>
      </c>
      <c r="H196" s="129">
        <v>3.6393412792283808E-3</v>
      </c>
      <c r="I196" s="128">
        <v>-1.439944503872137E-2</v>
      </c>
      <c r="J196" s="128">
        <v>-1.5232016873954479E-2</v>
      </c>
      <c r="K196" s="128">
        <v>1.4454755969062205E-3</v>
      </c>
      <c r="Z196" s="1">
        <f t="shared" si="62"/>
        <v>42704</v>
      </c>
      <c r="AA196">
        <f t="shared" si="63"/>
        <v>333.28023775695084</v>
      </c>
      <c r="AB196">
        <f t="shared" si="64"/>
        <v>180.15592331929648</v>
      </c>
      <c r="AC196">
        <f t="shared" si="65"/>
        <v>450.30100000000061</v>
      </c>
      <c r="AD196">
        <f t="shared" si="66"/>
        <v>231.37567528601605</v>
      </c>
      <c r="AE196">
        <f t="shared" si="67"/>
        <v>285.88099999999991</v>
      </c>
      <c r="AF196">
        <f t="shared" si="68"/>
        <v>238.79724639563588</v>
      </c>
      <c r="AG196">
        <f t="shared" si="69"/>
        <v>251.55969385006688</v>
      </c>
      <c r="AH196">
        <f t="shared" si="70"/>
        <v>311.05021030242597</v>
      </c>
      <c r="AI196">
        <f t="shared" si="71"/>
        <v>204.87907946691618</v>
      </c>
    </row>
    <row r="197" spans="1:35" x14ac:dyDescent="0.2">
      <c r="A197">
        <f t="shared" si="61"/>
        <v>193</v>
      </c>
      <c r="B197" s="1">
        <v>42734</v>
      </c>
      <c r="C197">
        <v>4.3404400612321759E-2</v>
      </c>
      <c r="D197" s="212">
        <v>2.7760819385907354E-2</v>
      </c>
      <c r="E197" s="128">
        <v>1.3968434447180211E-3</v>
      </c>
      <c r="F197" s="128">
        <v>6.9664469874130441E-2</v>
      </c>
      <c r="G197" s="128">
        <v>3.3559418079550651E-2</v>
      </c>
      <c r="H197" s="129">
        <v>9.6274136524341358E-3</v>
      </c>
      <c r="I197" s="128">
        <v>-1.7156296786938752E-3</v>
      </c>
      <c r="J197" s="128">
        <v>2.8201279089878906E-3</v>
      </c>
      <c r="K197" s="128">
        <v>1.4513170615448878E-3</v>
      </c>
      <c r="Z197" s="1">
        <f t="shared" si="62"/>
        <v>42734</v>
      </c>
      <c r="AA197">
        <f t="shared" si="63"/>
        <v>347.7460667127234</v>
      </c>
      <c r="AB197">
        <f t="shared" si="64"/>
        <v>185.15719936786485</v>
      </c>
      <c r="AC197">
        <f t="shared" si="65"/>
        <v>450.93000000000058</v>
      </c>
      <c r="AD197">
        <f t="shared" si="66"/>
        <v>247.49433904658531</v>
      </c>
      <c r="AE197">
        <f t="shared" si="67"/>
        <v>295.47499999999991</v>
      </c>
      <c r="AF197">
        <f t="shared" si="68"/>
        <v>241.0962462657489</v>
      </c>
      <c r="AG197">
        <f t="shared" si="69"/>
        <v>251.12811057333457</v>
      </c>
      <c r="AH197">
        <f t="shared" si="70"/>
        <v>311.92741168159637</v>
      </c>
      <c r="AI197">
        <f t="shared" si="71"/>
        <v>205.17642397050014</v>
      </c>
    </row>
    <row r="198" spans="1:35" x14ac:dyDescent="0.2">
      <c r="A198">
        <f t="shared" si="61"/>
        <v>194</v>
      </c>
      <c r="B198" s="1">
        <v>42766</v>
      </c>
      <c r="C198">
        <v>-7.7468224327615909E-3</v>
      </c>
      <c r="D198" s="212">
        <v>1.2872112243588862E-2</v>
      </c>
      <c r="E198" s="128">
        <v>3.9720133945401637E-2</v>
      </c>
      <c r="F198" s="128">
        <v>-5.0279616760557588E-2</v>
      </c>
      <c r="G198" s="128">
        <v>8.7858532870801476E-3</v>
      </c>
      <c r="H198" s="129">
        <v>7.0035556513305952E-3</v>
      </c>
      <c r="I198" s="128">
        <v>6.1191005737066817E-3</v>
      </c>
      <c r="J198" s="128">
        <v>-5.7281178594159599E-3</v>
      </c>
      <c r="K198" s="128">
        <v>1.5699608195376413E-3</v>
      </c>
      <c r="Z198" s="1">
        <f t="shared" si="62"/>
        <v>42766</v>
      </c>
      <c r="AA198">
        <f t="shared" si="63"/>
        <v>345.05213968220869</v>
      </c>
      <c r="AB198">
        <f t="shared" si="64"/>
        <v>187.54056362083656</v>
      </c>
      <c r="AC198">
        <f t="shared" si="65"/>
        <v>468.84100000000058</v>
      </c>
      <c r="AD198">
        <f t="shared" si="66"/>
        <v>235.05041852891549</v>
      </c>
      <c r="AE198">
        <f t="shared" si="67"/>
        <v>298.07099999999991</v>
      </c>
      <c r="AF198">
        <f t="shared" si="68"/>
        <v>242.78477724379798</v>
      </c>
      <c r="AG198">
        <f t="shared" si="69"/>
        <v>252.66478873881772</v>
      </c>
      <c r="AH198">
        <f t="shared" si="70"/>
        <v>310.14065470390165</v>
      </c>
      <c r="AI198">
        <f t="shared" si="71"/>
        <v>205.49854291722667</v>
      </c>
    </row>
    <row r="199" spans="1:35" x14ac:dyDescent="0.2">
      <c r="A199">
        <f t="shared" si="61"/>
        <v>195</v>
      </c>
      <c r="B199" s="1">
        <v>42794</v>
      </c>
      <c r="C199">
        <v>2.183132603853255E-2</v>
      </c>
      <c r="D199" s="212">
        <v>3.0965290088437847E-2</v>
      </c>
      <c r="E199" s="128">
        <v>1.6822334224182667E-2</v>
      </c>
      <c r="F199" s="128">
        <v>4.0778625678771885E-2</v>
      </c>
      <c r="G199" s="128">
        <v>3.6263172197228188E-2</v>
      </c>
      <c r="H199" s="129">
        <v>9.6654540266780664E-3</v>
      </c>
      <c r="I199" s="128">
        <v>1.7199706791646285E-3</v>
      </c>
      <c r="J199" s="128">
        <v>8.9969246875614139E-3</v>
      </c>
      <c r="K199" s="128">
        <v>1.344434028539343E-3</v>
      </c>
      <c r="Z199" s="1">
        <f t="shared" si="62"/>
        <v>42794</v>
      </c>
      <c r="AA199">
        <f t="shared" si="63"/>
        <v>352.58508544390429</v>
      </c>
      <c r="AB199">
        <f t="shared" si="64"/>
        <v>193.34781157670491</v>
      </c>
      <c r="AC199">
        <f t="shared" si="65"/>
        <v>476.72800000000063</v>
      </c>
      <c r="AD199">
        <f t="shared" si="66"/>
        <v>244.63545156174479</v>
      </c>
      <c r="AE199">
        <f t="shared" si="67"/>
        <v>308.87999999999994</v>
      </c>
      <c r="AF199">
        <f t="shared" si="68"/>
        <v>245.13140234662518</v>
      </c>
      <c r="AG199">
        <f t="shared" si="69"/>
        <v>253.09936476710581</v>
      </c>
      <c r="AH199">
        <f t="shared" si="70"/>
        <v>312.93096681682363</v>
      </c>
      <c r="AI199">
        <f t="shared" si="71"/>
        <v>205.77482215113986</v>
      </c>
    </row>
    <row r="200" spans="1:35" x14ac:dyDescent="0.2">
      <c r="A200">
        <f t="shared" si="61"/>
        <v>196</v>
      </c>
      <c r="B200" s="1">
        <v>42825</v>
      </c>
      <c r="C200">
        <v>3.2752639904884751E-2</v>
      </c>
      <c r="D200" s="212">
        <v>9.6391989011912482E-3</v>
      </c>
      <c r="E200">
        <v>1.9325485392089448E-2</v>
      </c>
      <c r="F200">
        <v>6.1568968685106196E-3</v>
      </c>
      <c r="G200">
        <v>1.1493136493136547E-2</v>
      </c>
      <c r="H200">
        <v>3.938676745911307E-3</v>
      </c>
      <c r="I200">
        <v>4.4111819312149247E-3</v>
      </c>
      <c r="J200">
        <v>-2.5694783897689533E-5</v>
      </c>
      <c r="K200">
        <v>1.5015187365847726E-3</v>
      </c>
      <c r="Z200" s="1">
        <f t="shared" si="62"/>
        <v>42825</v>
      </c>
      <c r="AA200">
        <f t="shared" si="63"/>
        <v>364.1331777832815</v>
      </c>
      <c r="AB200">
        <f t="shared" si="64"/>
        <v>195.21152958960283</v>
      </c>
      <c r="AC200">
        <f t="shared" si="65"/>
        <v>485.94100000000066</v>
      </c>
      <c r="AD200">
        <f t="shared" si="66"/>
        <v>246.14164680739196</v>
      </c>
      <c r="AE200">
        <f t="shared" si="67"/>
        <v>312.42999999999995</v>
      </c>
      <c r="AF200">
        <f t="shared" si="68"/>
        <v>246.09689570074045</v>
      </c>
      <c r="AG200">
        <f t="shared" si="69"/>
        <v>254.21583211176844</v>
      </c>
      <c r="AH200">
        <f t="shared" si="70"/>
        <v>312.92292612325639</v>
      </c>
      <c r="AI200">
        <f t="shared" si="71"/>
        <v>206.0837969021172</v>
      </c>
    </row>
    <row r="201" spans="1:35" x14ac:dyDescent="0.2">
      <c r="A201">
        <f t="shared" si="61"/>
        <v>197</v>
      </c>
      <c r="B201" s="1">
        <v>42853</v>
      </c>
      <c r="C201">
        <v>9.8275634633788744E-3</v>
      </c>
      <c r="D201" s="212">
        <v>1.1524789485289011E-2</v>
      </c>
      <c r="E201">
        <v>2.325385180505446E-2</v>
      </c>
      <c r="F201">
        <v>2.6299559319581167E-2</v>
      </c>
      <c r="G201">
        <v>1.8605767691962871E-2</v>
      </c>
      <c r="H201">
        <v>4.3102689959713114E-3</v>
      </c>
      <c r="I201">
        <v>7.5143198240541498E-3</v>
      </c>
      <c r="J201">
        <v>6.7860444372116469E-3</v>
      </c>
      <c r="K201">
        <v>1.4850577624294647E-3</v>
      </c>
      <c r="Z201" s="1">
        <f t="shared" si="62"/>
        <v>42853</v>
      </c>
      <c r="AA201">
        <f t="shared" si="63"/>
        <v>367.71171969706853</v>
      </c>
      <c r="AB201">
        <f t="shared" si="64"/>
        <v>197.46130137322427</v>
      </c>
      <c r="AC201">
        <f t="shared" si="65"/>
        <v>497.24100000000067</v>
      </c>
      <c r="AD201">
        <f t="shared" si="66"/>
        <v>252.61506364862237</v>
      </c>
      <c r="AE201">
        <f t="shared" si="67"/>
        <v>318.24299999999988</v>
      </c>
      <c r="AF201">
        <f t="shared" si="68"/>
        <v>247.15763952028414</v>
      </c>
      <c r="AG201">
        <f t="shared" si="69"/>
        <v>256.12609117859432</v>
      </c>
      <c r="AH201">
        <f t="shared" si="70"/>
        <v>315.0464350053511</v>
      </c>
      <c r="AI201">
        <f t="shared" si="71"/>
        <v>206.38984324441762</v>
      </c>
    </row>
    <row r="202" spans="1:35" x14ac:dyDescent="0.2">
      <c r="A202">
        <f t="shared" si="61"/>
        <v>198</v>
      </c>
      <c r="B202" s="1">
        <v>42886</v>
      </c>
      <c r="C202">
        <v>-2.7431482884989422E-2</v>
      </c>
      <c r="D202" s="212">
        <v>1.4820722914444806E-2</v>
      </c>
      <c r="E202">
        <v>2.4617841248006478E-2</v>
      </c>
      <c r="F202">
        <v>-1.115602317820763E-2</v>
      </c>
      <c r="G202">
        <v>3.2933952985611636E-2</v>
      </c>
      <c r="H202">
        <v>8.1806397365378203E-3</v>
      </c>
      <c r="I202">
        <v>1.165341011837695E-2</v>
      </c>
      <c r="J202">
        <v>5.0540129786713628E-3</v>
      </c>
      <c r="K202">
        <v>1.4874338460459935E-3</v>
      </c>
      <c r="Z202" s="1">
        <f t="shared" si="62"/>
        <v>42886</v>
      </c>
      <c r="AA202">
        <f t="shared" si="63"/>
        <v>357.62484195158839</v>
      </c>
      <c r="AB202">
        <f t="shared" si="64"/>
        <v>200.38782060720251</v>
      </c>
      <c r="AC202">
        <f t="shared" si="65"/>
        <v>509.48200000000065</v>
      </c>
      <c r="AD202">
        <f t="shared" si="66"/>
        <v>249.79688414339395</v>
      </c>
      <c r="AE202">
        <f t="shared" si="67"/>
        <v>328.72399999999988</v>
      </c>
      <c r="AF202">
        <f t="shared" si="68"/>
        <v>249.17954712733265</v>
      </c>
      <c r="AG202">
        <f t="shared" si="69"/>
        <v>259.11083356111527</v>
      </c>
      <c r="AH202">
        <f t="shared" si="70"/>
        <v>316.63868377675232</v>
      </c>
      <c r="AI202">
        <f t="shared" si="71"/>
        <v>206.69683448273949</v>
      </c>
    </row>
    <row r="203" spans="1:35" x14ac:dyDescent="0.2">
      <c r="A203">
        <f t="shared" ref="A203:A266" si="77">A202+1</f>
        <v>199</v>
      </c>
      <c r="B203" s="1">
        <v>42916</v>
      </c>
      <c r="C203">
        <v>2.2053218218973658E-3</v>
      </c>
      <c r="D203" s="212">
        <v>2.2655010480088222E-4</v>
      </c>
      <c r="E203">
        <v>1.6389195300324566E-2</v>
      </c>
      <c r="F203">
        <v>-4.9805970605310557E-2</v>
      </c>
      <c r="G203">
        <v>-1.5274211800781035E-2</v>
      </c>
      <c r="H203">
        <v>-4.8824561708337155E-3</v>
      </c>
      <c r="I203">
        <v>-8.9776042796465561E-3</v>
      </c>
      <c r="J203">
        <v>-2.804515278667985E-3</v>
      </c>
      <c r="K203">
        <v>1.433034793467014E-3</v>
      </c>
      <c r="Z203" s="1">
        <f t="shared" si="62"/>
        <v>42916</v>
      </c>
      <c r="AA203">
        <f t="shared" si="63"/>
        <v>358.41351981959684</v>
      </c>
      <c r="AB203">
        <f t="shared" si="64"/>
        <v>200.4332184889619</v>
      </c>
      <c r="AC203">
        <f t="shared" si="65"/>
        <v>517.83200000000068</v>
      </c>
      <c r="AD203">
        <f t="shared" si="66"/>
        <v>237.3555078744499</v>
      </c>
      <c r="AE203">
        <f t="shared" si="67"/>
        <v>323.70299999999992</v>
      </c>
      <c r="AF203">
        <f t="shared" si="68"/>
        <v>247.96293890981525</v>
      </c>
      <c r="AG203">
        <f t="shared" si="69"/>
        <v>256.78463903283421</v>
      </c>
      <c r="AH203">
        <f t="shared" si="70"/>
        <v>315.75066575028308</v>
      </c>
      <c r="AI203">
        <f t="shared" si="71"/>
        <v>206.99303823825275</v>
      </c>
    </row>
    <row r="204" spans="1:35" x14ac:dyDescent="0.2">
      <c r="A204">
        <f t="shared" si="77"/>
        <v>200</v>
      </c>
      <c r="B204" s="1">
        <v>42947</v>
      </c>
      <c r="C204">
        <v>1.4056380451132888E-4</v>
      </c>
      <c r="D204" s="212">
        <v>1.4316192802627414E-2</v>
      </c>
      <c r="E204">
        <v>4.8892304840179701E-2</v>
      </c>
      <c r="F204">
        <v>9.0755449793289422E-4</v>
      </c>
      <c r="G204">
        <v>2.7061843727118617E-3</v>
      </c>
      <c r="H204">
        <v>1.3654141639893647E-2</v>
      </c>
      <c r="I204">
        <v>2.4791241870838476E-3</v>
      </c>
      <c r="J204">
        <v>2.5471388948594686E-3</v>
      </c>
      <c r="K204">
        <v>1.4574620066374333E-3</v>
      </c>
      <c r="Z204" s="1">
        <f t="shared" si="62"/>
        <v>42947</v>
      </c>
      <c r="AA204">
        <f t="shared" si="63"/>
        <v>358.46389978753098</v>
      </c>
      <c r="AB204">
        <f t="shared" si="64"/>
        <v>203.30265908890101</v>
      </c>
      <c r="AC204">
        <f t="shared" si="65"/>
        <v>543.15000000000066</v>
      </c>
      <c r="AD204">
        <f t="shared" si="66"/>
        <v>237.5709209332305</v>
      </c>
      <c r="AE204">
        <f t="shared" si="67"/>
        <v>324.57899999999984</v>
      </c>
      <c r="AF204">
        <f t="shared" si="68"/>
        <v>251.34865999913416</v>
      </c>
      <c r="AG204">
        <f t="shared" si="69"/>
        <v>257.4212400423321</v>
      </c>
      <c r="AH204">
        <f t="shared" si="70"/>
        <v>316.55492655209338</v>
      </c>
      <c r="AI204">
        <f t="shared" si="71"/>
        <v>207.29472272712346</v>
      </c>
    </row>
    <row r="205" spans="1:35" x14ac:dyDescent="0.2">
      <c r="A205">
        <f t="shared" si="77"/>
        <v>201</v>
      </c>
      <c r="B205" s="1">
        <v>42978</v>
      </c>
      <c r="C205">
        <v>7.4935614280220442E-3</v>
      </c>
      <c r="D205" s="212">
        <v>1.480552330753504E-3</v>
      </c>
      <c r="E205">
        <v>2.1086256098683531E-2</v>
      </c>
      <c r="F205">
        <v>8.7139047646245249E-3</v>
      </c>
      <c r="G205">
        <v>2.2425973337769856E-2</v>
      </c>
      <c r="H205">
        <v>5.8738415957557688E-3</v>
      </c>
      <c r="I205">
        <v>-5.8904519870117689E-5</v>
      </c>
      <c r="J205">
        <v>1.0135454890452422E-2</v>
      </c>
      <c r="K205">
        <v>1.4208168680780453E-3</v>
      </c>
      <c r="Z205" s="1">
        <f t="shared" si="62"/>
        <v>42978</v>
      </c>
      <c r="AA205">
        <f t="shared" si="63"/>
        <v>361.15007104031719</v>
      </c>
      <c r="AB205">
        <f t="shared" si="64"/>
        <v>203.60365931466347</v>
      </c>
      <c r="AC205">
        <f t="shared" si="65"/>
        <v>554.60300000000063</v>
      </c>
      <c r="AD205">
        <f t="shared" si="66"/>
        <v>239.6410913130868</v>
      </c>
      <c r="AE205">
        <f t="shared" si="67"/>
        <v>331.85799999999983</v>
      </c>
      <c r="AF205">
        <f t="shared" si="68"/>
        <v>252.82504221327454</v>
      </c>
      <c r="AG205">
        <f t="shared" si="69"/>
        <v>257.40607676778302</v>
      </c>
      <c r="AH205">
        <f t="shared" si="70"/>
        <v>319.76335473051262</v>
      </c>
      <c r="AI205">
        <f t="shared" si="71"/>
        <v>207.58925056583772</v>
      </c>
    </row>
    <row r="206" spans="1:35" x14ac:dyDescent="0.2">
      <c r="A206">
        <f t="shared" si="77"/>
        <v>202</v>
      </c>
      <c r="B206" s="1">
        <v>43007</v>
      </c>
      <c r="C206">
        <v>3.5262674441050024E-4</v>
      </c>
      <c r="D206" s="212">
        <v>2.3204980298931588E-2</v>
      </c>
      <c r="E206">
        <v>4.4392114719900011E-3</v>
      </c>
      <c r="F206">
        <v>6.5789473684210176E-3</v>
      </c>
      <c r="G206">
        <v>-7.5363559112632261E-3</v>
      </c>
      <c r="H206">
        <v>-1.5241030910182474E-3</v>
      </c>
      <c r="I206">
        <v>-3.1139294917867932E-3</v>
      </c>
      <c r="J206">
        <v>-5.7296417357401985E-3</v>
      </c>
      <c r="K206">
        <v>1.4161153355638501E-3</v>
      </c>
      <c r="Z206" s="1">
        <f t="shared" si="62"/>
        <v>43007</v>
      </c>
      <c r="AA206">
        <f t="shared" si="63"/>
        <v>361.27742221411177</v>
      </c>
      <c r="AB206">
        <f t="shared" si="64"/>
        <v>208.32827821785062</v>
      </c>
      <c r="AC206">
        <f t="shared" si="65"/>
        <v>557.06500000000074</v>
      </c>
      <c r="AD206">
        <f t="shared" si="66"/>
        <v>241.21767744014659</v>
      </c>
      <c r="AE206">
        <f t="shared" si="67"/>
        <v>329.35699999999986</v>
      </c>
      <c r="AF206">
        <f t="shared" si="68"/>
        <v>252.43971078495048</v>
      </c>
      <c r="AG206">
        <f t="shared" si="69"/>
        <v>256.60453239397066</v>
      </c>
      <c r="AH206">
        <f t="shared" si="70"/>
        <v>317.93122526768838</v>
      </c>
      <c r="AI206">
        <f t="shared" si="71"/>
        <v>207.88322088706221</v>
      </c>
    </row>
    <row r="207" spans="1:35" x14ac:dyDescent="0.2">
      <c r="A207">
        <f t="shared" si="77"/>
        <v>203</v>
      </c>
      <c r="B207" s="1">
        <v>43039</v>
      </c>
      <c r="C207">
        <v>4.0153527982993431E-2</v>
      </c>
      <c r="D207" s="212">
        <v>2.5419268690992203E-2</v>
      </c>
      <c r="E207">
        <v>3.8914668844748812E-2</v>
      </c>
      <c r="F207">
        <v>2.106340115389882E-2</v>
      </c>
      <c r="G207">
        <v>2.0795064322300716E-2</v>
      </c>
      <c r="H207">
        <v>1.2811717490481378E-2</v>
      </c>
      <c r="I207">
        <v>1.0946792654064952E-2</v>
      </c>
      <c r="J207">
        <v>4.2774350323344645E-3</v>
      </c>
      <c r="K207">
        <v>1.4680393493686772E-3</v>
      </c>
      <c r="Z207" s="1">
        <f t="shared" si="62"/>
        <v>43039</v>
      </c>
      <c r="AA207">
        <f t="shared" si="63"/>
        <v>375.78398529660984</v>
      </c>
      <c r="AB207">
        <f t="shared" si="64"/>
        <v>213.62383069780194</v>
      </c>
      <c r="AC207">
        <f t="shared" si="65"/>
        <v>578.74300000000073</v>
      </c>
      <c r="AD207">
        <f t="shared" si="66"/>
        <v>246.29854214548016</v>
      </c>
      <c r="AE207">
        <f t="shared" si="67"/>
        <v>336.20599999999985</v>
      </c>
      <c r="AF207">
        <f t="shared" si="68"/>
        <v>255.67389704290608</v>
      </c>
      <c r="AG207">
        <f t="shared" si="69"/>
        <v>259.41352900418076</v>
      </c>
      <c r="AH207">
        <f t="shared" si="70"/>
        <v>319.29115542852139</v>
      </c>
      <c r="AI207">
        <f t="shared" si="71"/>
        <v>208.18840163539792</v>
      </c>
    </row>
    <row r="208" spans="1:35" x14ac:dyDescent="0.2">
      <c r="A208">
        <f t="shared" si="77"/>
        <v>204</v>
      </c>
      <c r="B208" s="1">
        <v>43069</v>
      </c>
      <c r="C208">
        <v>1.6934498640605922E-2</v>
      </c>
      <c r="D208" s="212">
        <v>1.5734017112710719E-2</v>
      </c>
      <c r="E208">
        <v>-8.226449391180668E-3</v>
      </c>
      <c r="F208">
        <v>5.1463752246761585E-2</v>
      </c>
      <c r="G208">
        <v>2.1602826838307498E-2</v>
      </c>
      <c r="H208">
        <v>9.9910250114310095E-4</v>
      </c>
      <c r="I208">
        <v>8.6953044037749727E-3</v>
      </c>
      <c r="J208">
        <v>3.1211869564304884E-3</v>
      </c>
      <c r="K208">
        <v>1.3323247661940485E-3</v>
      </c>
      <c r="Z208" s="1">
        <f t="shared" si="62"/>
        <v>43069</v>
      </c>
      <c r="AA208">
        <f t="shared" si="63"/>
        <v>382.14769868477674</v>
      </c>
      <c r="AB208">
        <f t="shared" si="64"/>
        <v>216.98499170568397</v>
      </c>
      <c r="AC208">
        <f t="shared" si="65"/>
        <v>573.98200000000065</v>
      </c>
      <c r="AD208">
        <f t="shared" si="66"/>
        <v>258.97398929719373</v>
      </c>
      <c r="AE208">
        <f t="shared" si="67"/>
        <v>343.46899999999988</v>
      </c>
      <c r="AF208">
        <f t="shared" si="68"/>
        <v>255.92934147291865</v>
      </c>
      <c r="AG208">
        <f t="shared" si="69"/>
        <v>261.66920860532963</v>
      </c>
      <c r="AH208">
        <f t="shared" si="70"/>
        <v>320.2877228181485</v>
      </c>
      <c r="AI208">
        <f t="shared" si="71"/>
        <v>208.46577619893111</v>
      </c>
    </row>
    <row r="209" spans="1:35" x14ac:dyDescent="0.2">
      <c r="A209">
        <f t="shared" si="77"/>
        <v>205</v>
      </c>
      <c r="B209" s="1">
        <v>43098</v>
      </c>
      <c r="C209">
        <v>1.8588389590078913E-2</v>
      </c>
      <c r="D209" s="212">
        <v>1.1031730162880615E-2</v>
      </c>
      <c r="E209">
        <v>2.5629723580181896E-2</v>
      </c>
      <c r="F209">
        <v>4.4929985197994515E-3</v>
      </c>
      <c r="G209">
        <v>-2.1364373495133537E-2</v>
      </c>
      <c r="H209">
        <v>9.0844498578968036E-3</v>
      </c>
      <c r="I209">
        <v>-5.2021631692207304E-3</v>
      </c>
      <c r="J209">
        <v>1.1996410042913741E-3</v>
      </c>
      <c r="K209">
        <v>1.4330639355084607E-3</v>
      </c>
      <c r="Z209" s="1">
        <f t="shared" si="62"/>
        <v>43098</v>
      </c>
      <c r="AA209">
        <f t="shared" si="63"/>
        <v>389.25120898888144</v>
      </c>
      <c r="AB209">
        <f t="shared" si="64"/>
        <v>219.37871158357595</v>
      </c>
      <c r="AC209">
        <f t="shared" si="65"/>
        <v>588.69300000000067</v>
      </c>
      <c r="AD209">
        <f t="shared" si="66"/>
        <v>260.13755904777258</v>
      </c>
      <c r="AE209">
        <f t="shared" si="67"/>
        <v>336.13099999999986</v>
      </c>
      <c r="AF209">
        <f t="shared" si="68"/>
        <v>258.25431874269395</v>
      </c>
      <c r="AG209">
        <f t="shared" si="69"/>
        <v>260.30796268580383</v>
      </c>
      <c r="AH209">
        <f t="shared" si="70"/>
        <v>320.67195310361228</v>
      </c>
      <c r="AI209">
        <f t="shared" si="71"/>
        <v>208.76452098458958</v>
      </c>
    </row>
    <row r="210" spans="1:35" x14ac:dyDescent="0.2">
      <c r="A210">
        <f t="shared" si="77"/>
        <v>206</v>
      </c>
      <c r="B210" s="1">
        <v>43131</v>
      </c>
      <c r="C210">
        <v>-3.9111337633197518E-3</v>
      </c>
      <c r="D210" s="212">
        <v>3.7655407949432673E-2</v>
      </c>
      <c r="E210">
        <v>6.7683835207824838E-2</v>
      </c>
      <c r="F210">
        <v>-3.0899535757133223E-2</v>
      </c>
      <c r="G210">
        <v>-1.8138761375773083E-2</v>
      </c>
      <c r="H210">
        <v>2.7125349963955658E-2</v>
      </c>
      <c r="I210">
        <v>-2.6766029643555678E-3</v>
      </c>
      <c r="J210">
        <v>-6.1895245245171537E-3</v>
      </c>
      <c r="K210">
        <v>1.5585023557638245E-3</v>
      </c>
      <c r="Z210" s="1">
        <f t="shared" si="62"/>
        <v>43131</v>
      </c>
      <c r="AA210">
        <f t="shared" si="63"/>
        <v>387.72879544299201</v>
      </c>
      <c r="AB210">
        <f t="shared" si="64"/>
        <v>227.63950646367644</v>
      </c>
      <c r="AC210">
        <f t="shared" si="65"/>
        <v>628.53800000000069</v>
      </c>
      <c r="AD210">
        <f t="shared" si="66"/>
        <v>252.09942924020257</v>
      </c>
      <c r="AE210">
        <f t="shared" si="67"/>
        <v>330.03399999999988</v>
      </c>
      <c r="AF210">
        <f t="shared" si="68"/>
        <v>265.25955751829247</v>
      </c>
      <c r="AG210">
        <f t="shared" si="69"/>
        <v>259.61122162123365</v>
      </c>
      <c r="AH210">
        <f t="shared" si="70"/>
        <v>318.68714618555265</v>
      </c>
      <c r="AI210">
        <f t="shared" si="71"/>
        <v>209.08988098234397</v>
      </c>
    </row>
    <row r="211" spans="1:35" ht="12.75" customHeight="1" x14ac:dyDescent="0.2">
      <c r="A211">
        <f t="shared" si="77"/>
        <v>207</v>
      </c>
      <c r="B211" s="1">
        <v>43159</v>
      </c>
      <c r="C211">
        <v>3.3813643055278231E-3</v>
      </c>
      <c r="D211" s="212">
        <v>-3.5311408666120814E-2</v>
      </c>
      <c r="E211">
        <v>-3.8696148840642874E-2</v>
      </c>
      <c r="F211">
        <v>-3.2971358214076596E-2</v>
      </c>
      <c r="G211">
        <v>-4.3153129677548363E-2</v>
      </c>
      <c r="H211">
        <v>-2.1234922552108015E-2</v>
      </c>
      <c r="I211">
        <v>2.9320187958368216E-3</v>
      </c>
      <c r="J211">
        <v>1.0461721453287609E-3</v>
      </c>
      <c r="K211">
        <v>1.3378541122033294E-3</v>
      </c>
      <c r="Z211" s="1">
        <f t="shared" si="62"/>
        <v>43159</v>
      </c>
      <c r="AA211">
        <f t="shared" si="63"/>
        <v>389.03984775212825</v>
      </c>
      <c r="AB211">
        <f t="shared" si="64"/>
        <v>219.6012348223835</v>
      </c>
      <c r="AC211">
        <f t="shared" si="65"/>
        <v>604.21600000000069</v>
      </c>
      <c r="AD211">
        <f t="shared" si="66"/>
        <v>243.7873686531596</v>
      </c>
      <c r="AE211">
        <f t="shared" si="67"/>
        <v>315.79199999999986</v>
      </c>
      <c r="AF211">
        <f t="shared" si="68"/>
        <v>259.62679135818507</v>
      </c>
      <c r="AG211">
        <f t="shared" si="69"/>
        <v>260.37240660263728</v>
      </c>
      <c r="AH211">
        <f t="shared" si="70"/>
        <v>319.02054780096631</v>
      </c>
      <c r="AI211">
        <f t="shared" si="71"/>
        <v>209.36961273943629</v>
      </c>
    </row>
    <row r="212" spans="1:35" x14ac:dyDescent="0.2">
      <c r="A212">
        <f t="shared" si="77"/>
        <v>208</v>
      </c>
      <c r="B212" s="1">
        <v>43189</v>
      </c>
      <c r="C212">
        <v>-3.7255783611656823E-2</v>
      </c>
      <c r="D212" s="212">
        <v>-2.3093273986174445E-2</v>
      </c>
      <c r="E212">
        <v>-1.8713506428164828E-2</v>
      </c>
      <c r="F212">
        <v>5.0790205143735889E-4</v>
      </c>
      <c r="G212">
        <v>1.8537518366519734E-2</v>
      </c>
      <c r="H212">
        <v>-6.3369242570787687E-4</v>
      </c>
      <c r="I212">
        <v>8.4230002366694201E-3</v>
      </c>
      <c r="J212">
        <v>1.1373445996609943E-2</v>
      </c>
      <c r="K212">
        <v>1.3828717774901911E-3</v>
      </c>
      <c r="Z212" s="1">
        <f t="shared" si="62"/>
        <v>43189</v>
      </c>
      <c r="AA212">
        <f t="shared" si="63"/>
        <v>374.54586336796302</v>
      </c>
      <c r="AB212">
        <f t="shared" si="64"/>
        <v>214.52992333892797</v>
      </c>
      <c r="AC212">
        <f t="shared" si="65"/>
        <v>592.90900000000067</v>
      </c>
      <c r="AD212">
        <f t="shared" si="66"/>
        <v>243.91118875781305</v>
      </c>
      <c r="AE212">
        <f t="shared" si="67"/>
        <v>321.64599999999984</v>
      </c>
      <c r="AF212">
        <f t="shared" si="68"/>
        <v>259.46226782699057</v>
      </c>
      <c r="AG212">
        <f t="shared" si="69"/>
        <v>262.5655234450735</v>
      </c>
      <c r="AH212">
        <f t="shared" si="70"/>
        <v>322.64891077318953</v>
      </c>
      <c r="AI212">
        <f t="shared" si="71"/>
        <v>209.6591440679577</v>
      </c>
    </row>
    <row r="213" spans="1:35" x14ac:dyDescent="0.2">
      <c r="A213">
        <f t="shared" si="77"/>
        <v>209</v>
      </c>
      <c r="B213" s="1">
        <v>43220</v>
      </c>
      <c r="C213">
        <v>3.7784634145535234E-2</v>
      </c>
      <c r="D213" s="212">
        <v>1.9407782833420928E-2</v>
      </c>
      <c r="E213">
        <v>1.1649342479200131E-2</v>
      </c>
      <c r="F213">
        <v>4.5750565884222327E-2</v>
      </c>
      <c r="G213">
        <v>2.7067023995324124E-2</v>
      </c>
      <c r="H213">
        <v>5.1728741156065183E-4</v>
      </c>
      <c r="I213">
        <v>-3.4669803716892433E-3</v>
      </c>
      <c r="J213">
        <v>-3.3032028072773612E-3</v>
      </c>
      <c r="K213">
        <v>1.640618872807531E-3</v>
      </c>
      <c r="Z213" s="1">
        <f t="shared" si="62"/>
        <v>43220</v>
      </c>
      <c r="AA213">
        <f t="shared" si="63"/>
        <v>388.69794178604513</v>
      </c>
      <c r="AB213">
        <f t="shared" si="64"/>
        <v>218.69347350236032</v>
      </c>
      <c r="AC213">
        <f t="shared" si="65"/>
        <v>599.81600000000071</v>
      </c>
      <c r="AD213">
        <f t="shared" si="66"/>
        <v>255.07026366897637</v>
      </c>
      <c r="AE213">
        <f t="shared" si="67"/>
        <v>330.35199999999986</v>
      </c>
      <c r="AF213">
        <f t="shared" si="68"/>
        <v>259.59648439191244</v>
      </c>
      <c r="AG213">
        <f t="shared" si="69"/>
        <v>261.65521392900712</v>
      </c>
      <c r="AH213">
        <f t="shared" si="70"/>
        <v>321.58313598535852</v>
      </c>
      <c r="AI213">
        <f t="shared" si="71"/>
        <v>210.00311481657226</v>
      </c>
    </row>
    <row r="214" spans="1:35" x14ac:dyDescent="0.2">
      <c r="A214">
        <f t="shared" si="77"/>
        <v>210</v>
      </c>
      <c r="B214" s="1">
        <v>43251</v>
      </c>
      <c r="C214">
        <v>1.1933705659405325E-2</v>
      </c>
      <c r="D214" s="212">
        <v>1.2712167751691261E-2</v>
      </c>
      <c r="E214">
        <v>-2.2151793216586446E-2</v>
      </c>
      <c r="F214">
        <v>3.022665837658467E-2</v>
      </c>
      <c r="G214">
        <v>1.3712645904974119E-2</v>
      </c>
      <c r="H214">
        <v>2.7518804516419859E-3</v>
      </c>
      <c r="I214">
        <v>6.8598284138767784E-3</v>
      </c>
      <c r="J214">
        <v>2.6768593501362847E-3</v>
      </c>
      <c r="K214">
        <v>1.7266834115643448E-3</v>
      </c>
      <c r="Z214" s="1">
        <f t="shared" ref="Z214:Z277" si="78">B214</f>
        <v>43251</v>
      </c>
      <c r="AA214">
        <f t="shared" ref="AA214:AA277" si="79">IF($Z214&lt;$B$1,100,AA213*(1+C214))</f>
        <v>393.33654861373645</v>
      </c>
      <c r="AB214">
        <f t="shared" ref="AB214:AB277" si="80">IF($Z214&lt;$B$1,100,AB213*(1+D214))</f>
        <v>221.47354162372238</v>
      </c>
      <c r="AC214">
        <f t="shared" ref="AC214:AC277" si="81">IF($Z214&lt;$B$1,100,AC213*(1+E214))</f>
        <v>586.52900000000068</v>
      </c>
      <c r="AD214">
        <f t="shared" ref="AD214:AD277" si="82">IF($Z214&lt;$B$1,100,AD213*(1+F214))</f>
        <v>262.78018539092392</v>
      </c>
      <c r="AE214">
        <f t="shared" ref="AE214:AE277" si="83">IF($Z214&lt;$B$1,100,AE213*(1+G214))</f>
        <v>334.88199999999989</v>
      </c>
      <c r="AF214">
        <f t="shared" ref="AF214:AF277" si="84">IF($Z214&lt;$B$1,100,AF213*(1+H214))</f>
        <v>260.31086288262554</v>
      </c>
      <c r="AG214">
        <f t="shared" ref="AG214:AG277" si="85">IF($Z214&lt;$B$1,100,AG213*(1+I214))</f>
        <v>263.45012380015635</v>
      </c>
      <c r="AH214">
        <f t="shared" ref="AH214:AH277" si="86">IF($Z214&lt;$B$1,100,AH213*(1+J214))</f>
        <v>322.44396880976706</v>
      </c>
      <c r="AI214">
        <f t="shared" ref="AI214:AI277" si="87">IF($Z214&lt;$B$1,100,AI213*(1+K214))</f>
        <v>210.36572371130288</v>
      </c>
    </row>
    <row r="215" spans="1:35" x14ac:dyDescent="0.2">
      <c r="A215">
        <f t="shared" si="77"/>
        <v>211</v>
      </c>
      <c r="B215" s="1">
        <v>43280</v>
      </c>
      <c r="C215">
        <v>3.1876085313962355E-2</v>
      </c>
      <c r="D215" s="212">
        <v>3.2936578637827729E-3</v>
      </c>
      <c r="E215">
        <v>-2.4648397606938488E-2</v>
      </c>
      <c r="F215">
        <v>1.9544814943908584E-2</v>
      </c>
      <c r="G215">
        <v>2.5782215825275623E-2</v>
      </c>
      <c r="H215">
        <v>-2.2952564699620925E-3</v>
      </c>
      <c r="I215">
        <v>4.771998792178378E-3</v>
      </c>
      <c r="J215">
        <v>3.3222236306846842E-3</v>
      </c>
      <c r="K215">
        <v>1.5139117331264274E-3</v>
      </c>
      <c r="Z215" s="1">
        <f t="shared" si="78"/>
        <v>43280</v>
      </c>
      <c r="AA215">
        <f t="shared" si="79"/>
        <v>405.87457799444741</v>
      </c>
      <c r="AB215">
        <f t="shared" si="80"/>
        <v>222.20299969571118</v>
      </c>
      <c r="AC215">
        <f t="shared" si="81"/>
        <v>572.07200000000068</v>
      </c>
      <c r="AD215">
        <f t="shared" si="82"/>
        <v>267.91617548531553</v>
      </c>
      <c r="AE215">
        <f t="shared" si="83"/>
        <v>343.51599999999985</v>
      </c>
      <c r="AF215">
        <f t="shared" si="84"/>
        <v>259.71338269039279</v>
      </c>
      <c r="AG215">
        <f t="shared" si="85"/>
        <v>264.70730747272995</v>
      </c>
      <c r="AH215">
        <f t="shared" si="86"/>
        <v>323.51519978251861</v>
      </c>
      <c r="AI215">
        <f t="shared" si="87"/>
        <v>210.68419884867706</v>
      </c>
    </row>
    <row r="216" spans="1:35" x14ac:dyDescent="0.2">
      <c r="A216">
        <f t="shared" si="77"/>
        <v>212</v>
      </c>
      <c r="B216" s="1">
        <v>43312</v>
      </c>
      <c r="C216">
        <v>1.3058057363666054E-2</v>
      </c>
      <c r="D216" s="212">
        <v>3.1457048354767148E-2</v>
      </c>
      <c r="E216">
        <v>1.6947167489407056E-2</v>
      </c>
      <c r="F216">
        <v>9.0342758018158165E-3</v>
      </c>
      <c r="G216">
        <v>2.5911456817149681E-2</v>
      </c>
      <c r="H216">
        <v>3.6008401960456737E-3</v>
      </c>
      <c r="I216">
        <v>1.5950994891353876E-3</v>
      </c>
      <c r="J216">
        <v>-1.7051718516158942E-3</v>
      </c>
      <c r="K216">
        <v>1.9028605779289887E-3</v>
      </c>
      <c r="Z216" s="1">
        <f t="shared" si="78"/>
        <v>43312</v>
      </c>
      <c r="AA216">
        <f t="shared" si="79"/>
        <v>411.17451151635265</v>
      </c>
      <c r="AB216">
        <f t="shared" si="80"/>
        <v>229.19285020171347</v>
      </c>
      <c r="AC216">
        <f t="shared" si="81"/>
        <v>581.76700000000073</v>
      </c>
      <c r="AD216">
        <f t="shared" si="82"/>
        <v>270.33660410641755</v>
      </c>
      <c r="AE216">
        <f t="shared" si="83"/>
        <v>352.41699999999986</v>
      </c>
      <c r="AF216">
        <f t="shared" si="84"/>
        <v>260.64856907823537</v>
      </c>
      <c r="AG216">
        <f t="shared" si="85"/>
        <v>265.12954196365013</v>
      </c>
      <c r="AH216">
        <f t="shared" si="86"/>
        <v>322.96355077027954</v>
      </c>
      <c r="AI216">
        <f t="shared" si="87"/>
        <v>211.08510150505876</v>
      </c>
    </row>
    <row r="217" spans="1:35" x14ac:dyDescent="0.2">
      <c r="A217">
        <f t="shared" si="77"/>
        <v>213</v>
      </c>
      <c r="B217" s="1">
        <v>43343</v>
      </c>
      <c r="C217">
        <v>1.4032746244738492E-2</v>
      </c>
      <c r="D217" s="212">
        <v>1.3389377407976522E-2</v>
      </c>
      <c r="E217">
        <v>-5.4987649694809848E-3</v>
      </c>
      <c r="F217">
        <v>3.565355970912476E-2</v>
      </c>
      <c r="G217">
        <v>-2.1281606732932445E-3</v>
      </c>
      <c r="H217">
        <v>1.2458057871831407E-3</v>
      </c>
      <c r="I217">
        <v>8.1111510427478439E-3</v>
      </c>
      <c r="J217">
        <v>1.0302449202790331E-3</v>
      </c>
      <c r="K217">
        <v>1.6742119765731367E-3</v>
      </c>
      <c r="Z217" s="1">
        <f t="shared" si="78"/>
        <v>43343</v>
      </c>
      <c r="AA217">
        <f t="shared" si="79"/>
        <v>416.94441909876593</v>
      </c>
      <c r="AB217">
        <f t="shared" si="80"/>
        <v>232.26159977227402</v>
      </c>
      <c r="AC217">
        <f t="shared" si="81"/>
        <v>578.56800000000067</v>
      </c>
      <c r="AD217">
        <f t="shared" si="82"/>
        <v>279.97506636248772</v>
      </c>
      <c r="AE217">
        <f t="shared" si="83"/>
        <v>351.66699999999986</v>
      </c>
      <c r="AF217">
        <f t="shared" si="84"/>
        <v>260.97328657401403</v>
      </c>
      <c r="AG217">
        <f t="shared" si="85"/>
        <v>267.28004772441187</v>
      </c>
      <c r="AH217">
        <f t="shared" si="86"/>
        <v>323.29628232789588</v>
      </c>
      <c r="AI217">
        <f t="shared" si="87"/>
        <v>211.43850271007469</v>
      </c>
    </row>
    <row r="218" spans="1:35" x14ac:dyDescent="0.2">
      <c r="A218">
        <f t="shared" si="77"/>
        <v>214</v>
      </c>
      <c r="B218" s="1">
        <v>43371</v>
      </c>
      <c r="C218">
        <v>-1.193635797350312E-2</v>
      </c>
      <c r="D218" s="212">
        <v>7.2768220423238272E-3</v>
      </c>
      <c r="E218">
        <v>-1.160278480662591E-2</v>
      </c>
      <c r="F218">
        <v>-1.8392921512024096E-2</v>
      </c>
      <c r="G218">
        <v>3.16492591002282E-3</v>
      </c>
      <c r="H218">
        <v>1.0285847006321625E-3</v>
      </c>
      <c r="I218">
        <v>-4.2489122053214201E-3</v>
      </c>
      <c r="J218">
        <v>-3.7448581481014376E-3</v>
      </c>
      <c r="K218">
        <v>1.5781226953361926E-3</v>
      </c>
      <c r="Z218" s="1">
        <f t="shared" si="78"/>
        <v>43371</v>
      </c>
      <c r="AA218">
        <f t="shared" si="79"/>
        <v>411.96762125734875</v>
      </c>
      <c r="AB218">
        <f t="shared" si="80"/>
        <v>233.9517261010823</v>
      </c>
      <c r="AC218">
        <f t="shared" si="81"/>
        <v>571.8550000000007</v>
      </c>
      <c r="AD218">
        <f t="shared" si="82"/>
        <v>274.82550694155873</v>
      </c>
      <c r="AE218">
        <f t="shared" si="83"/>
        <v>352.77999999999986</v>
      </c>
      <c r="AF218">
        <f t="shared" si="84"/>
        <v>261.24171970385777</v>
      </c>
      <c r="AG218">
        <f t="shared" si="85"/>
        <v>266.14439826739675</v>
      </c>
      <c r="AH218">
        <f t="shared" si="86"/>
        <v>322.08558361076933</v>
      </c>
      <c r="AI218">
        <f t="shared" si="87"/>
        <v>211.77217860986937</v>
      </c>
    </row>
    <row r="219" spans="1:35" x14ac:dyDescent="0.2">
      <c r="A219">
        <f t="shared" si="77"/>
        <v>215</v>
      </c>
      <c r="B219" s="1">
        <v>43404</v>
      </c>
      <c r="C219">
        <v>-6.1560510199044849E-2</v>
      </c>
      <c r="D219" s="212">
        <v>-6.8040596954808685E-2</v>
      </c>
      <c r="E219">
        <v>-7.7776709130811139E-2</v>
      </c>
      <c r="F219">
        <v>-2.438783539831213E-2</v>
      </c>
      <c r="G219">
        <v>-1.7690912183230378E-2</v>
      </c>
      <c r="H219">
        <v>-2.5721341089510852E-2</v>
      </c>
      <c r="I219">
        <v>4.843849312699211E-3</v>
      </c>
      <c r="J219">
        <v>7.0376009389017113E-4</v>
      </c>
      <c r="K219">
        <v>1.6808198727100709E-3</v>
      </c>
      <c r="Z219" s="1">
        <f t="shared" si="78"/>
        <v>43404</v>
      </c>
      <c r="AA219">
        <f t="shared" si="79"/>
        <v>386.60668430725951</v>
      </c>
      <c r="AB219">
        <f t="shared" si="80"/>
        <v>218.03351099855678</v>
      </c>
      <c r="AC219">
        <f t="shared" si="81"/>
        <v>527.37800000000061</v>
      </c>
      <c r="AD219">
        <f t="shared" si="82"/>
        <v>268.12310771501029</v>
      </c>
      <c r="AE219">
        <f t="shared" si="83"/>
        <v>346.53899999999987</v>
      </c>
      <c r="AF219">
        <f t="shared" si="84"/>
        <v>254.52223232454446</v>
      </c>
      <c r="AG219">
        <f t="shared" si="85"/>
        <v>267.43356162802303</v>
      </c>
      <c r="AH219">
        <f t="shared" si="86"/>
        <v>322.31225459133191</v>
      </c>
      <c r="AI219">
        <f t="shared" si="87"/>
        <v>212.12812949616395</v>
      </c>
    </row>
    <row r="220" spans="1:35" x14ac:dyDescent="0.2">
      <c r="A220">
        <f t="shared" si="77"/>
        <v>216</v>
      </c>
      <c r="B220" s="1">
        <v>43434</v>
      </c>
      <c r="C220">
        <v>-2.1762141762930787E-2</v>
      </c>
      <c r="D220" s="212">
        <v>1.1500904891818209E-2</v>
      </c>
      <c r="E220">
        <v>2.9671317347329529E-2</v>
      </c>
      <c r="F220">
        <v>1.6953870290241646E-3</v>
      </c>
      <c r="G220">
        <v>3.5620810356121524E-2</v>
      </c>
      <c r="H220">
        <v>-5.8686444281900174E-3</v>
      </c>
      <c r="I220">
        <v>2.4284745191889279E-3</v>
      </c>
      <c r="J220">
        <v>6.2836504807772808E-3</v>
      </c>
      <c r="K220">
        <v>1.5455455518957883E-3</v>
      </c>
      <c r="Z220" s="1">
        <f t="shared" si="78"/>
        <v>43434</v>
      </c>
      <c r="AA220">
        <f t="shared" si="79"/>
        <v>378.19329483686829</v>
      </c>
      <c r="AB220">
        <f t="shared" si="80"/>
        <v>220.54109367178037</v>
      </c>
      <c r="AC220">
        <f t="shared" si="81"/>
        <v>543.02600000000064</v>
      </c>
      <c r="AD220">
        <f t="shared" si="82"/>
        <v>268.57768015401194</v>
      </c>
      <c r="AE220">
        <f t="shared" si="83"/>
        <v>358.88299999999987</v>
      </c>
      <c r="AF220">
        <f t="shared" si="84"/>
        <v>253.02853184396253</v>
      </c>
      <c r="AG220">
        <f t="shared" si="85"/>
        <v>268.08301721801263</v>
      </c>
      <c r="AH220">
        <f t="shared" si="86"/>
        <v>324.33755214485512</v>
      </c>
      <c r="AI220">
        <f t="shared" si="87"/>
        <v>212.45598318313873</v>
      </c>
    </row>
    <row r="221" spans="1:35" x14ac:dyDescent="0.2">
      <c r="A221">
        <f t="shared" si="77"/>
        <v>217</v>
      </c>
      <c r="B221" s="1">
        <v>43465</v>
      </c>
      <c r="C221">
        <v>-2.2661587024543905E-3</v>
      </c>
      <c r="D221" s="212">
        <v>-7.8634719990350765E-2</v>
      </c>
      <c r="E221">
        <v>-2.5070622769443718E-2</v>
      </c>
      <c r="F221">
        <v>2.3426842823220273E-2</v>
      </c>
      <c r="G221">
        <v>-5.5243630932643728E-2</v>
      </c>
      <c r="H221">
        <v>-1.1909243352383414E-2</v>
      </c>
      <c r="I221">
        <v>1.5033547456837493E-2</v>
      </c>
      <c r="J221">
        <v>1.5703408396341656E-2</v>
      </c>
      <c r="K221">
        <v>1.5223426054964406E-3</v>
      </c>
      <c r="Z221" s="1">
        <f t="shared" si="78"/>
        <v>43465</v>
      </c>
      <c r="AA221">
        <f t="shared" si="79"/>
        <v>377.3362488105638</v>
      </c>
      <c r="AB221">
        <f t="shared" si="80"/>
        <v>203.19890652453421</v>
      </c>
      <c r="AC221">
        <f t="shared" si="81"/>
        <v>529.41200000000072</v>
      </c>
      <c r="AD221">
        <f t="shared" si="82"/>
        <v>274.86960725280511</v>
      </c>
      <c r="AE221">
        <f t="shared" si="83"/>
        <v>339.0569999999999</v>
      </c>
      <c r="AF221">
        <f t="shared" si="84"/>
        <v>250.01515348313649</v>
      </c>
      <c r="AG221">
        <f t="shared" si="85"/>
        <v>272.11325597973183</v>
      </c>
      <c r="AH221">
        <f t="shared" si="86"/>
        <v>329.43075718445556</v>
      </c>
      <c r="AI221">
        <f t="shared" si="87"/>
        <v>212.77941397813106</v>
      </c>
    </row>
    <row r="222" spans="1:35" x14ac:dyDescent="0.2">
      <c r="A222">
        <f t="shared" si="77"/>
        <v>218</v>
      </c>
      <c r="B222" s="1">
        <v>43496</v>
      </c>
      <c r="C222">
        <v>3.8677661283873288E-2</v>
      </c>
      <c r="D222" s="212">
        <v>7.2410204289151903E-2</v>
      </c>
      <c r="E222">
        <v>7.1641745937001788E-2</v>
      </c>
      <c r="F222">
        <v>5.7777215549185801E-2</v>
      </c>
      <c r="G222">
        <v>6.8911716908956144E-2</v>
      </c>
      <c r="H222">
        <v>1.7698195546011597E-2</v>
      </c>
      <c r="I222">
        <v>6.399790678379258E-3</v>
      </c>
      <c r="J222">
        <v>7.3929607205194259E-3</v>
      </c>
      <c r="K222">
        <v>1.803044980856594E-3</v>
      </c>
      <c r="Z222" s="1">
        <f t="shared" si="78"/>
        <v>43496</v>
      </c>
      <c r="AA222">
        <f t="shared" si="79"/>
        <v>391.93073243218612</v>
      </c>
      <c r="AB222">
        <f t="shared" si="80"/>
        <v>217.912580857308</v>
      </c>
      <c r="AC222">
        <f t="shared" si="81"/>
        <v>567.34000000000071</v>
      </c>
      <c r="AD222">
        <f t="shared" si="82"/>
        <v>290.75080779897047</v>
      </c>
      <c r="AE222">
        <f t="shared" si="83"/>
        <v>362.42199999999985</v>
      </c>
      <c r="AF222">
        <f t="shared" si="84"/>
        <v>254.43997055894715</v>
      </c>
      <c r="AG222">
        <f t="shared" si="85"/>
        <v>273.85472385881434</v>
      </c>
      <c r="AH222">
        <f t="shared" si="86"/>
        <v>331.86622583245122</v>
      </c>
      <c r="AI222">
        <f t="shared" si="87"/>
        <v>213.16306483253393</v>
      </c>
    </row>
    <row r="223" spans="1:35" x14ac:dyDescent="0.2">
      <c r="A223">
        <f t="shared" si="77"/>
        <v>219</v>
      </c>
      <c r="B223" s="1">
        <v>43524</v>
      </c>
      <c r="C223">
        <v>6.0084143309692362E-2</v>
      </c>
      <c r="D223" s="212">
        <v>3.3375254726516923E-2</v>
      </c>
      <c r="E223">
        <v>1.0968731272252841E-2</v>
      </c>
      <c r="F223">
        <v>2.2833274509746815E-2</v>
      </c>
      <c r="G223">
        <v>3.7641202796739659E-2</v>
      </c>
      <c r="H223">
        <v>1.0788184045739335E-2</v>
      </c>
      <c r="I223">
        <v>9.3746649972472618E-3</v>
      </c>
      <c r="J223">
        <v>-5.2899370053305361E-4</v>
      </c>
      <c r="K223">
        <v>1.7300902078196678E-3</v>
      </c>
      <c r="Z223" s="1">
        <f t="shared" si="78"/>
        <v>43524</v>
      </c>
      <c r="AA223">
        <f t="shared" si="79"/>
        <v>415.47955472711431</v>
      </c>
      <c r="AB223">
        <f t="shared" si="80"/>
        <v>225.18546875153336</v>
      </c>
      <c r="AC223">
        <f t="shared" si="81"/>
        <v>573.56300000000067</v>
      </c>
      <c r="AD223">
        <f t="shared" si="82"/>
        <v>297.38960080737502</v>
      </c>
      <c r="AE223">
        <f t="shared" si="83"/>
        <v>376.06399999999985</v>
      </c>
      <c r="AF223">
        <f t="shared" si="84"/>
        <v>257.18491578992956</v>
      </c>
      <c r="AG223">
        <f t="shared" si="85"/>
        <v>276.42202015290439</v>
      </c>
      <c r="AH223">
        <f t="shared" si="86"/>
        <v>331.69067068956616</v>
      </c>
      <c r="AI223">
        <f t="shared" si="87"/>
        <v>213.53185616366952</v>
      </c>
    </row>
    <row r="224" spans="1:35" x14ac:dyDescent="0.2">
      <c r="A224">
        <f t="shared" si="77"/>
        <v>220</v>
      </c>
      <c r="B224" s="1">
        <v>43553</v>
      </c>
      <c r="C224">
        <v>7.3312879056808278E-3</v>
      </c>
      <c r="D224" s="212">
        <v>1.6125995042983954E-2</v>
      </c>
      <c r="E224">
        <v>1.3716017246579559E-2</v>
      </c>
      <c r="F224">
        <v>5.9077000293730864E-2</v>
      </c>
      <c r="G224">
        <v>3.1103748298161982E-2</v>
      </c>
      <c r="H224">
        <v>1.0908723611999571E-2</v>
      </c>
      <c r="I224">
        <v>1.8215951965534272E-2</v>
      </c>
      <c r="J224">
        <v>1.7110488911514343E-2</v>
      </c>
      <c r="K224">
        <v>1.6538733566830999E-3</v>
      </c>
      <c r="Z224" s="1">
        <f t="shared" si="78"/>
        <v>43553</v>
      </c>
      <c r="AA224">
        <f t="shared" si="79"/>
        <v>418.52555496174284</v>
      </c>
      <c r="AB224">
        <f t="shared" si="80"/>
        <v>228.8168085043726</v>
      </c>
      <c r="AC224">
        <f t="shared" si="81"/>
        <v>581.43000000000063</v>
      </c>
      <c r="AD224">
        <f t="shared" si="82"/>
        <v>314.95848634162479</v>
      </c>
      <c r="AE224">
        <f t="shared" si="83"/>
        <v>387.76099999999985</v>
      </c>
      <c r="AF224">
        <f t="shared" si="84"/>
        <v>259.99047495345729</v>
      </c>
      <c r="AG224">
        <f t="shared" si="85"/>
        <v>281.45731039422566</v>
      </c>
      <c r="AH224">
        <f t="shared" si="86"/>
        <v>337.36606023245275</v>
      </c>
      <c r="AI224">
        <f t="shared" si="87"/>
        <v>213.8850108113817</v>
      </c>
    </row>
    <row r="225" spans="1:35" x14ac:dyDescent="0.2">
      <c r="A225">
        <f t="shared" si="77"/>
        <v>221</v>
      </c>
      <c r="B225" s="1">
        <v>43585</v>
      </c>
      <c r="C225">
        <v>2.4616120113273965E-2</v>
      </c>
      <c r="D225" s="212">
        <v>3.7652764747543532E-2</v>
      </c>
      <c r="E225">
        <v>2.5616153277264742E-2</v>
      </c>
      <c r="F225">
        <v>-2.9449858230315762E-2</v>
      </c>
      <c r="G225">
        <v>1.1891345442166523E-2</v>
      </c>
      <c r="H225">
        <v>1.3588676103247321E-2</v>
      </c>
      <c r="I225">
        <v>2.8433806436847231E-3</v>
      </c>
      <c r="J225">
        <v>-2.2293055076358925E-3</v>
      </c>
      <c r="K225">
        <v>1.6368230051715393E-3</v>
      </c>
      <c r="Z225" s="1">
        <f t="shared" si="78"/>
        <v>43585</v>
      </c>
      <c r="AA225">
        <f t="shared" si="79"/>
        <v>428.82803029315573</v>
      </c>
      <c r="AB225">
        <f t="shared" si="80"/>
        <v>237.43239396527147</v>
      </c>
      <c r="AC225">
        <f t="shared" si="81"/>
        <v>596.32400000000064</v>
      </c>
      <c r="AD225">
        <f t="shared" si="82"/>
        <v>305.68300357042909</v>
      </c>
      <c r="AE225">
        <f t="shared" si="83"/>
        <v>392.37199999999979</v>
      </c>
      <c r="AF225">
        <f t="shared" si="84"/>
        <v>263.52340130752924</v>
      </c>
      <c r="AG225">
        <f t="shared" si="85"/>
        <v>282.25760066262416</v>
      </c>
      <c r="AH225">
        <f t="shared" si="86"/>
        <v>336.61396821628711</v>
      </c>
      <c r="AI225">
        <f t="shared" si="87"/>
        <v>214.23510271753915</v>
      </c>
    </row>
    <row r="226" spans="1:35" x14ac:dyDescent="0.2">
      <c r="A226">
        <f t="shared" si="77"/>
        <v>222</v>
      </c>
      <c r="B226" s="1">
        <v>43616</v>
      </c>
      <c r="C226">
        <v>1.7456927996498228E-2</v>
      </c>
      <c r="D226" s="212">
        <v>-5.6970552608841207E-2</v>
      </c>
      <c r="E226">
        <v>-6.6032894869232139E-2</v>
      </c>
      <c r="F226">
        <v>3.0704139385195894E-2</v>
      </c>
      <c r="G226">
        <v>-9.4094379823228547E-3</v>
      </c>
      <c r="H226">
        <v>-1.0005586041468062E-2</v>
      </c>
      <c r="I226">
        <v>1.7009589977444284E-2</v>
      </c>
      <c r="J226">
        <v>1.5821147889172327E-2</v>
      </c>
      <c r="K226">
        <v>1.5095724072948791E-3</v>
      </c>
      <c r="Z226" s="1">
        <f t="shared" si="78"/>
        <v>43616</v>
      </c>
      <c r="AA226">
        <f t="shared" si="79"/>
        <v>436.3140503408635</v>
      </c>
      <c r="AB226">
        <f t="shared" si="80"/>
        <v>223.90573927382985</v>
      </c>
      <c r="AC226">
        <f t="shared" si="81"/>
        <v>556.94700000000057</v>
      </c>
      <c r="AD226">
        <f t="shared" si="82"/>
        <v>315.06873711974089</v>
      </c>
      <c r="AE226">
        <f t="shared" si="83"/>
        <v>388.67999999999978</v>
      </c>
      <c r="AF226">
        <f t="shared" si="84"/>
        <v>260.88669524180642</v>
      </c>
      <c r="AG226">
        <f t="shared" si="85"/>
        <v>287.05868671791262</v>
      </c>
      <c r="AH226">
        <f t="shared" si="86"/>
        <v>341.93958758899811</v>
      </c>
      <c r="AI226">
        <f t="shared" si="87"/>
        <v>214.55850611727553</v>
      </c>
    </row>
    <row r="227" spans="1:35" x14ac:dyDescent="0.2">
      <c r="A227">
        <f t="shared" si="77"/>
        <v>223</v>
      </c>
      <c r="B227" s="1">
        <v>43644</v>
      </c>
      <c r="C227">
        <v>3.6438345810414718E-2</v>
      </c>
      <c r="D227" s="212">
        <v>5.8960551439457998E-2</v>
      </c>
      <c r="E227">
        <v>4.6056447022786662E-2</v>
      </c>
      <c r="F227">
        <v>4.6319450239161064E-2</v>
      </c>
      <c r="G227">
        <v>2.2954615622105434E-2</v>
      </c>
      <c r="H227">
        <v>1.9981081036228199E-2</v>
      </c>
      <c r="I227">
        <v>1.0404822056304441E-2</v>
      </c>
      <c r="J227">
        <v>1.2316516875478412E-2</v>
      </c>
      <c r="K227">
        <v>1.3243746694702185E-3</v>
      </c>
      <c r="Z227" s="1">
        <f t="shared" si="78"/>
        <v>43644</v>
      </c>
      <c r="AA227">
        <f t="shared" si="79"/>
        <v>452.21261258912659</v>
      </c>
      <c r="AB227">
        <f t="shared" si="80"/>
        <v>237.10734513187435</v>
      </c>
      <c r="AC227">
        <f t="shared" si="81"/>
        <v>582.59800000000052</v>
      </c>
      <c r="AD227">
        <f t="shared" si="82"/>
        <v>329.66254781067403</v>
      </c>
      <c r="AE227">
        <f t="shared" si="83"/>
        <v>397.60199999999969</v>
      </c>
      <c r="AF227">
        <f t="shared" si="84"/>
        <v>266.09949344070674</v>
      </c>
      <c r="AG227">
        <f t="shared" si="85"/>
        <v>290.04548127292895</v>
      </c>
      <c r="AH227">
        <f t="shared" si="86"/>
        <v>346.15109228993214</v>
      </c>
      <c r="AI227">
        <f t="shared" si="87"/>
        <v>214.84266196789662</v>
      </c>
    </row>
    <row r="228" spans="1:35" x14ac:dyDescent="0.2">
      <c r="A228">
        <f t="shared" si="77"/>
        <v>224</v>
      </c>
      <c r="B228" s="1">
        <v>43677</v>
      </c>
      <c r="C228">
        <v>2.9695845443936664E-2</v>
      </c>
      <c r="D228" s="212">
        <v>1.1842711797608763E-2</v>
      </c>
      <c r="E228">
        <v>-9.8678677235416457E-3</v>
      </c>
      <c r="F228">
        <v>2.3963572283035139E-2</v>
      </c>
      <c r="G228">
        <v>1.9567305999468321E-3</v>
      </c>
      <c r="H228">
        <v>7.1915523665413428E-3</v>
      </c>
      <c r="I228">
        <v>9.4920696658342685E-3</v>
      </c>
      <c r="J228">
        <v>7.3016034546837805E-3</v>
      </c>
      <c r="K228">
        <v>1.1982295082089145E-3</v>
      </c>
      <c r="Z228" s="1">
        <f t="shared" si="78"/>
        <v>43677</v>
      </c>
      <c r="AA228">
        <f t="shared" si="79"/>
        <v>465.64144844037213</v>
      </c>
      <c r="AB228">
        <f t="shared" si="80"/>
        <v>239.91533908536729</v>
      </c>
      <c r="AC228">
        <f t="shared" si="81"/>
        <v>576.84900000000061</v>
      </c>
      <c r="AD228">
        <f t="shared" si="82"/>
        <v>337.56244010414463</v>
      </c>
      <c r="AE228">
        <f t="shared" si="83"/>
        <v>398.37999999999977</v>
      </c>
      <c r="AF228">
        <f t="shared" si="84"/>
        <v>268.01316188249569</v>
      </c>
      <c r="AG228">
        <f t="shared" si="85"/>
        <v>292.79861318743201</v>
      </c>
      <c r="AH228">
        <f t="shared" si="86"/>
        <v>348.67855030123889</v>
      </c>
      <c r="AI228">
        <f t="shared" si="87"/>
        <v>215.10009278508869</v>
      </c>
    </row>
    <row r="229" spans="1:35" x14ac:dyDescent="0.2">
      <c r="A229">
        <f t="shared" si="77"/>
        <v>225</v>
      </c>
      <c r="B229" s="1">
        <v>43707</v>
      </c>
      <c r="C229">
        <v>-2.2718101684325087E-2</v>
      </c>
      <c r="D229" s="212">
        <v>-1.9498520059136215E-2</v>
      </c>
      <c r="E229">
        <v>-2.5294314456642875E-2</v>
      </c>
      <c r="F229">
        <v>3.5223475617416344E-3</v>
      </c>
      <c r="G229">
        <v>1.3991666248305501E-2</v>
      </c>
      <c r="H229">
        <v>-1.3731160040709733E-3</v>
      </c>
      <c r="I229">
        <v>1.5118120016680781E-2</v>
      </c>
      <c r="J229">
        <v>2.5787103483339902E-2</v>
      </c>
      <c r="K229">
        <v>8.3589490961610835E-4</v>
      </c>
      <c r="Z229" s="1">
        <f t="shared" si="78"/>
        <v>43707</v>
      </c>
      <c r="AA229">
        <f t="shared" si="79"/>
        <v>455.06295866626732</v>
      </c>
      <c r="AB229">
        <f t="shared" si="80"/>
        <v>235.23734503371679</v>
      </c>
      <c r="AC229">
        <f t="shared" si="81"/>
        <v>562.25800000000061</v>
      </c>
      <c r="AD229">
        <f t="shared" si="82"/>
        <v>338.75145234198101</v>
      </c>
      <c r="AE229">
        <f t="shared" si="83"/>
        <v>403.95399999999972</v>
      </c>
      <c r="AF229">
        <f t="shared" si="84"/>
        <v>267.64514872061318</v>
      </c>
      <c r="AG229">
        <f t="shared" si="85"/>
        <v>297.22517776231729</v>
      </c>
      <c r="AH229">
        <f t="shared" si="86"/>
        <v>357.66996016027787</v>
      </c>
      <c r="AI229">
        <f t="shared" si="87"/>
        <v>215.2798938577057</v>
      </c>
    </row>
    <row r="230" spans="1:35" x14ac:dyDescent="0.2">
      <c r="A230">
        <f t="shared" si="77"/>
        <v>226</v>
      </c>
      <c r="B230" s="1">
        <v>43738</v>
      </c>
      <c r="C230">
        <v>1.9079051297919536E-2</v>
      </c>
      <c r="D230" s="212">
        <v>2.3386545741703291E-2</v>
      </c>
      <c r="E230">
        <v>1.4704993081467777E-2</v>
      </c>
      <c r="F230">
        <v>-3.4178533517595033E-2</v>
      </c>
      <c r="G230">
        <v>1.9531926902567998E-2</v>
      </c>
      <c r="H230">
        <v>-3.1705975605809122E-3</v>
      </c>
      <c r="I230">
        <v>-4.8745324761217956E-3</v>
      </c>
      <c r="J230">
        <v>-6.4123699862546069E-3</v>
      </c>
      <c r="K230">
        <v>8.4551663645959785E-4</v>
      </c>
      <c r="Z230" s="1">
        <f t="shared" si="78"/>
        <v>43738</v>
      </c>
      <c r="AA230">
        <f t="shared" si="79"/>
        <v>463.74512819844409</v>
      </c>
      <c r="AB230">
        <f t="shared" si="80"/>
        <v>240.73873396350464</v>
      </c>
      <c r="AC230">
        <f t="shared" si="81"/>
        <v>570.52600000000052</v>
      </c>
      <c r="AD230">
        <f t="shared" si="82"/>
        <v>327.17342447397664</v>
      </c>
      <c r="AE230">
        <f t="shared" si="83"/>
        <v>411.84399999999965</v>
      </c>
      <c r="AF230">
        <f t="shared" si="84"/>
        <v>266.79655366497826</v>
      </c>
      <c r="AG230">
        <f t="shared" si="85"/>
        <v>295.77634398059382</v>
      </c>
      <c r="AH230">
        <f t="shared" si="86"/>
        <v>355.37644804276124</v>
      </c>
      <c r="AI230">
        <f t="shared" si="87"/>
        <v>215.46191658945764</v>
      </c>
    </row>
    <row r="231" spans="1:35" x14ac:dyDescent="0.2">
      <c r="A231">
        <f t="shared" si="77"/>
        <v>227</v>
      </c>
      <c r="B231" s="1">
        <v>43769</v>
      </c>
      <c r="C231">
        <v>-3.7904963398542879E-3</v>
      </c>
      <c r="D231" s="212">
        <v>1.8782715628560043E-2</v>
      </c>
      <c r="E231">
        <v>2.9958319165121594E-2</v>
      </c>
      <c r="F231">
        <v>1.4122038467520248E-2</v>
      </c>
      <c r="G231">
        <v>-2.6296364642922621E-3</v>
      </c>
      <c r="H231">
        <v>3.4241017818312791E-3</v>
      </c>
      <c r="I231">
        <v>-4.9000481341627822E-3</v>
      </c>
      <c r="J231">
        <v>-5.5904699927381563E-3</v>
      </c>
      <c r="K231">
        <v>8.0738554337589363E-4</v>
      </c>
      <c r="Z231" s="1">
        <f t="shared" si="78"/>
        <v>43769</v>
      </c>
      <c r="AA231">
        <f t="shared" si="79"/>
        <v>461.98730398738263</v>
      </c>
      <c r="AB231">
        <f t="shared" si="80"/>
        <v>245.26046114432071</v>
      </c>
      <c r="AC231">
        <f t="shared" si="81"/>
        <v>587.61800000000073</v>
      </c>
      <c r="AD231">
        <f t="shared" si="82"/>
        <v>331.79378015994848</v>
      </c>
      <c r="AE231">
        <f t="shared" si="83"/>
        <v>410.76099999999968</v>
      </c>
      <c r="AF231">
        <f t="shared" si="84"/>
        <v>267.71009221976897</v>
      </c>
      <c r="AG231">
        <f t="shared" si="85"/>
        <v>294.32702565814225</v>
      </c>
      <c r="AH231">
        <f t="shared" si="86"/>
        <v>353.38972667385229</v>
      </c>
      <c r="AI231">
        <f t="shared" si="87"/>
        <v>215.63587742606003</v>
      </c>
    </row>
    <row r="232" spans="1:35" x14ac:dyDescent="0.2">
      <c r="A232">
        <f t="shared" si="77"/>
        <v>228</v>
      </c>
      <c r="B232" s="1">
        <v>43798</v>
      </c>
      <c r="C232">
        <v>3.1812569620238929E-2</v>
      </c>
      <c r="D232" s="212">
        <v>3.1508940863829826E-2</v>
      </c>
      <c r="E232">
        <v>5.8422308370402742E-3</v>
      </c>
      <c r="F232">
        <v>2.5386731011072694E-2</v>
      </c>
      <c r="G232">
        <v>-3.9901548589081903E-3</v>
      </c>
      <c r="H232">
        <v>4.6738796435559227E-3</v>
      </c>
      <c r="I232">
        <v>8.2196150525313261E-3</v>
      </c>
      <c r="J232">
        <v>-4.1413256846974944E-3</v>
      </c>
      <c r="K232">
        <v>8.2211321485803346E-4</v>
      </c>
      <c r="Z232" s="1">
        <f t="shared" si="78"/>
        <v>43798</v>
      </c>
      <c r="AA232">
        <f t="shared" si="79"/>
        <v>476.68430725914772</v>
      </c>
      <c r="AB232">
        <f t="shared" si="80"/>
        <v>252.98835851075276</v>
      </c>
      <c r="AC232">
        <f t="shared" si="81"/>
        <v>591.05100000000073</v>
      </c>
      <c r="AD232">
        <f t="shared" si="82"/>
        <v>340.21693960801611</v>
      </c>
      <c r="AE232">
        <f t="shared" si="83"/>
        <v>409.12199999999967</v>
      </c>
      <c r="AF232">
        <f t="shared" si="84"/>
        <v>268.96133697016944</v>
      </c>
      <c r="AG232">
        <f t="shared" si="85"/>
        <v>296.74628050860866</v>
      </c>
      <c r="AH232">
        <f t="shared" si="86"/>
        <v>351.92622472206966</v>
      </c>
      <c r="AI232">
        <f t="shared" si="87"/>
        <v>215.8131545304895</v>
      </c>
    </row>
    <row r="233" spans="1:35" x14ac:dyDescent="0.2">
      <c r="A233">
        <f t="shared" si="77"/>
        <v>229</v>
      </c>
      <c r="B233" s="1">
        <v>43830</v>
      </c>
      <c r="C233">
        <v>-2.0247997048930433E-2</v>
      </c>
      <c r="D233" s="212">
        <v>2.275052141340228E-2</v>
      </c>
      <c r="E233">
        <v>5.7357148537097391E-2</v>
      </c>
      <c r="F233">
        <v>-3.8991923422076025E-2</v>
      </c>
      <c r="G233">
        <v>2.9599972624302806E-2</v>
      </c>
      <c r="H233">
        <v>1.6129551527639174E-2</v>
      </c>
      <c r="I233">
        <v>-1.6431128752242063E-2</v>
      </c>
      <c r="J233">
        <v>-5.3216026877561662E-3</v>
      </c>
      <c r="K233">
        <v>7.2195281140219336E-4</v>
      </c>
      <c r="Z233" s="1">
        <f t="shared" si="78"/>
        <v>43830</v>
      </c>
      <c r="AA233">
        <f t="shared" si="79"/>
        <v>467.03240481249304</v>
      </c>
      <c r="AB233">
        <f t="shared" si="80"/>
        <v>258.74397557839313</v>
      </c>
      <c r="AC233">
        <f t="shared" si="81"/>
        <v>624.95200000000068</v>
      </c>
      <c r="AD233">
        <f t="shared" si="82"/>
        <v>326.95122675192727</v>
      </c>
      <c r="AE233">
        <f t="shared" si="83"/>
        <v>421.23199999999969</v>
      </c>
      <c r="AF233">
        <f t="shared" si="84"/>
        <v>273.2995627137725</v>
      </c>
      <c r="AG233">
        <f t="shared" si="85"/>
        <v>291.87040416682277</v>
      </c>
      <c r="AH233">
        <f t="shared" si="86"/>
        <v>350.05341317869681</v>
      </c>
      <c r="AI233">
        <f t="shared" si="87"/>
        <v>215.96896144414035</v>
      </c>
    </row>
    <row r="234" spans="1:35" x14ac:dyDescent="0.2">
      <c r="A234">
        <f t="shared" si="77"/>
        <v>230</v>
      </c>
      <c r="B234" s="1">
        <v>43861</v>
      </c>
      <c r="C234">
        <v>4.8875188131509706E-2</v>
      </c>
      <c r="D234" s="212">
        <v>-2.5157378245724837E-3</v>
      </c>
      <c r="E234">
        <v>-3.291132758995885E-2</v>
      </c>
      <c r="F234">
        <v>5.1489165227045275E-2</v>
      </c>
      <c r="G234">
        <v>4.1680119269191573E-2</v>
      </c>
      <c r="H234">
        <v>1.6158671820543091E-3</v>
      </c>
      <c r="I234">
        <v>2.3279609804724544E-2</v>
      </c>
      <c r="J234">
        <v>1.9794862343274877E-2</v>
      </c>
      <c r="K234">
        <v>8.154965260998015E-4</v>
      </c>
      <c r="Z234" s="1">
        <f t="shared" si="78"/>
        <v>43861</v>
      </c>
      <c r="AA234">
        <f t="shared" si="79"/>
        <v>489.85870146121505</v>
      </c>
      <c r="AB234">
        <f t="shared" si="80"/>
        <v>258.09304357215029</v>
      </c>
      <c r="AC234">
        <f t="shared" si="81"/>
        <v>604.3840000000007</v>
      </c>
      <c r="AD234">
        <f t="shared" si="82"/>
        <v>343.78567248734237</v>
      </c>
      <c r="AE234">
        <f t="shared" si="83"/>
        <v>438.78899999999976</v>
      </c>
      <c r="AF234">
        <f t="shared" si="84"/>
        <v>273.74117850803145</v>
      </c>
      <c r="AG234">
        <f t="shared" si="85"/>
        <v>298.66503328937364</v>
      </c>
      <c r="AH234">
        <f t="shared" si="86"/>
        <v>356.98267230536266</v>
      </c>
      <c r="AI234">
        <f t="shared" si="87"/>
        <v>216.14508338194344</v>
      </c>
    </row>
    <row r="235" spans="1:35" x14ac:dyDescent="0.2">
      <c r="A235">
        <f t="shared" si="77"/>
        <v>231</v>
      </c>
      <c r="B235" s="1">
        <v>43889</v>
      </c>
      <c r="C235">
        <v>-7.7643612416974706E-2</v>
      </c>
      <c r="D235" s="212">
        <v>-8.096336219888034E-2</v>
      </c>
      <c r="E235">
        <v>-3.8349790861439081E-2</v>
      </c>
      <c r="F235">
        <v>-6.6122634248386603E-2</v>
      </c>
      <c r="G235">
        <v>-8.444605493756685E-2</v>
      </c>
      <c r="H235">
        <v>-1.9912694144813892E-2</v>
      </c>
      <c r="I235">
        <v>8.5968594641609997E-3</v>
      </c>
      <c r="J235">
        <v>1.4750567659547853E-2</v>
      </c>
      <c r="K235">
        <v>7.5394563125574798E-4</v>
      </c>
      <c r="Z235" s="1">
        <f t="shared" si="78"/>
        <v>43889</v>
      </c>
      <c r="AA235">
        <f t="shared" si="79"/>
        <v>451.82430230587795</v>
      </c>
      <c r="AB235">
        <f t="shared" si="80"/>
        <v>237.19696300440688</v>
      </c>
      <c r="AC235">
        <f t="shared" si="81"/>
        <v>581.2060000000007</v>
      </c>
      <c r="AD235">
        <f t="shared" si="82"/>
        <v>321.05365820562622</v>
      </c>
      <c r="AE235">
        <f t="shared" si="83"/>
        <v>401.73499999999979</v>
      </c>
      <c r="AF235">
        <f t="shared" si="84"/>
        <v>268.29025414556014</v>
      </c>
      <c r="AG235">
        <f t="shared" si="85"/>
        <v>301.23261460742134</v>
      </c>
      <c r="AH235">
        <f t="shared" si="86"/>
        <v>362.2483693664891</v>
      </c>
      <c r="AI235">
        <f t="shared" si="87"/>
        <v>216.30804502327666</v>
      </c>
    </row>
    <row r="236" spans="1:35" x14ac:dyDescent="0.2">
      <c r="A236">
        <f t="shared" si="77"/>
        <v>232</v>
      </c>
      <c r="B236" s="1">
        <v>43921</v>
      </c>
      <c r="C236">
        <v>-0.20829147145749727</v>
      </c>
      <c r="D236" s="212">
        <v>-0.12837806381690164</v>
      </c>
      <c r="E236">
        <v>-0.12961153188370389</v>
      </c>
      <c r="F236">
        <v>-0.38845215075918471</v>
      </c>
      <c r="G236">
        <v>-0.1193025252965263</v>
      </c>
      <c r="H236">
        <v>-7.2829086449239133E-2</v>
      </c>
      <c r="I236">
        <v>-2.1382051887857134E-3</v>
      </c>
      <c r="J236">
        <v>-1.6388512926100995E-3</v>
      </c>
      <c r="K236">
        <v>9.9344798222200659E-4</v>
      </c>
      <c r="Z236" s="1">
        <f t="shared" si="78"/>
        <v>43921</v>
      </c>
      <c r="AA236">
        <f t="shared" si="79"/>
        <v>357.71315353832955</v>
      </c>
      <c r="AB236">
        <f t="shared" si="80"/>
        <v>206.74607615065187</v>
      </c>
      <c r="AC236">
        <f t="shared" si="81"/>
        <v>505.87500000000063</v>
      </c>
      <c r="AD236">
        <f t="shared" si="82"/>
        <v>196.33967416654656</v>
      </c>
      <c r="AE236">
        <f t="shared" si="83"/>
        <v>353.80699999999985</v>
      </c>
      <c r="AF236">
        <f t="shared" si="84"/>
        <v>248.75092003290482</v>
      </c>
      <c r="AG236">
        <f t="shared" si="85"/>
        <v>300.58851746783625</v>
      </c>
      <c r="AH236">
        <f t="shared" si="86"/>
        <v>361.65469815810695</v>
      </c>
      <c r="AI236">
        <f t="shared" si="87"/>
        <v>216.52293581414344</v>
      </c>
    </row>
    <row r="237" spans="1:35" x14ac:dyDescent="0.2">
      <c r="A237">
        <f t="shared" si="77"/>
        <v>233</v>
      </c>
      <c r="B237" s="1">
        <v>43951</v>
      </c>
      <c r="C237">
        <v>9.022314875952353E-2</v>
      </c>
      <c r="D237" s="212">
        <v>0.10510585789930738</v>
      </c>
      <c r="E237">
        <v>8.7964418087472351E-2</v>
      </c>
      <c r="F237">
        <v>0.15927605718975424</v>
      </c>
      <c r="G237">
        <v>5.6468639682086597E-2</v>
      </c>
      <c r="H237">
        <v>2.4280293800257757E-2</v>
      </c>
      <c r="I237">
        <v>-6.9267450016263776E-4</v>
      </c>
      <c r="J237">
        <v>7.8615070420595679E-3</v>
      </c>
      <c r="K237">
        <v>4.7470979520602974E-4</v>
      </c>
      <c r="Z237" s="1">
        <f t="shared" si="78"/>
        <v>43951</v>
      </c>
      <c r="AA237">
        <f t="shared" si="79"/>
        <v>389.98716060325654</v>
      </c>
      <c r="AB237">
        <f t="shared" si="80"/>
        <v>228.47629985178168</v>
      </c>
      <c r="AC237">
        <f t="shared" si="81"/>
        <v>550.37400000000071</v>
      </c>
      <c r="AD237">
        <f t="shared" si="82"/>
        <v>227.61188333771514</v>
      </c>
      <c r="AE237">
        <f t="shared" si="83"/>
        <v>373.78599999999983</v>
      </c>
      <c r="AF237">
        <f t="shared" si="84"/>
        <v>254.79066545438818</v>
      </c>
      <c r="AG237">
        <f t="shared" si="85"/>
        <v>300.38030746674457</v>
      </c>
      <c r="AH237">
        <f t="shared" si="86"/>
        <v>364.49784911447085</v>
      </c>
      <c r="AI237">
        <f t="shared" si="87"/>
        <v>216.62572137266119</v>
      </c>
    </row>
    <row r="238" spans="1:35" x14ac:dyDescent="0.2">
      <c r="A238">
        <f t="shared" si="77"/>
        <v>234</v>
      </c>
      <c r="B238" s="1">
        <v>43980</v>
      </c>
      <c r="C238">
        <v>4.5829281372869568E-2</v>
      </c>
      <c r="D238" s="212">
        <v>4.7219124197473095E-2</v>
      </c>
      <c r="E238">
        <v>6.346593407391854E-3</v>
      </c>
      <c r="F238">
        <v>2.5903183498271032E-2</v>
      </c>
      <c r="G238">
        <v>4.4335528885512066E-2</v>
      </c>
      <c r="H238">
        <v>2.4860235518020746E-2</v>
      </c>
      <c r="I238">
        <v>2.8538423919139966E-3</v>
      </c>
      <c r="J238">
        <v>-9.1862669248699014E-4</v>
      </c>
      <c r="K238">
        <v>8.9034770722751233E-5</v>
      </c>
      <c r="Z238" s="1">
        <f t="shared" si="78"/>
        <v>43980</v>
      </c>
      <c r="AA238">
        <f t="shared" si="79"/>
        <v>407.85999191834964</v>
      </c>
      <c r="AB238">
        <f t="shared" si="80"/>
        <v>239.26475063066206</v>
      </c>
      <c r="AC238">
        <f t="shared" si="81"/>
        <v>553.86700000000064</v>
      </c>
      <c r="AD238">
        <f t="shared" si="82"/>
        <v>233.50775571819904</v>
      </c>
      <c r="AE238">
        <f t="shared" si="83"/>
        <v>390.35799999999983</v>
      </c>
      <c r="AF238">
        <f t="shared" si="84"/>
        <v>261.12482140537747</v>
      </c>
      <c r="AG238">
        <f t="shared" si="85"/>
        <v>301.23754552188933</v>
      </c>
      <c r="AH238">
        <f t="shared" si="86"/>
        <v>364.16301166092018</v>
      </c>
      <c r="AI238">
        <f t="shared" si="87"/>
        <v>216.64500859409625</v>
      </c>
    </row>
    <row r="239" spans="1:35" x14ac:dyDescent="0.2">
      <c r="A239">
        <f t="shared" si="77"/>
        <v>235</v>
      </c>
      <c r="B239" s="1">
        <v>44012</v>
      </c>
      <c r="C239">
        <v>2.4328379268704126E-2</v>
      </c>
      <c r="D239" s="212">
        <v>2.3631032293597309E-2</v>
      </c>
      <c r="E239">
        <v>6.6279449759599318E-2</v>
      </c>
      <c r="F239">
        <v>-1.3321904872592105E-2</v>
      </c>
      <c r="G239">
        <v>-3.0315761429252186E-2</v>
      </c>
      <c r="H239">
        <v>1.1639474731396815E-2</v>
      </c>
      <c r="I239">
        <v>3.0939979278727936E-3</v>
      </c>
      <c r="J239">
        <v>1.0225110136790061E-3</v>
      </c>
      <c r="K239">
        <v>7.4992859272704493E-5</v>
      </c>
      <c r="Z239" s="1">
        <f t="shared" si="78"/>
        <v>44012</v>
      </c>
      <c r="AA239">
        <f t="shared" si="79"/>
        <v>417.78256449026986</v>
      </c>
      <c r="AB239">
        <f t="shared" si="80"/>
        <v>244.91882367953474</v>
      </c>
      <c r="AC239">
        <f t="shared" si="81"/>
        <v>590.57700000000068</v>
      </c>
      <c r="AD239">
        <f t="shared" si="82"/>
        <v>230.3969876095087</v>
      </c>
      <c r="AE239">
        <f t="shared" si="83"/>
        <v>378.52399999999983</v>
      </c>
      <c r="AF239">
        <f t="shared" si="84"/>
        <v>264.16417716586585</v>
      </c>
      <c r="AG239">
        <f t="shared" si="85"/>
        <v>302.16957386353153</v>
      </c>
      <c r="AH239">
        <f t="shared" si="86"/>
        <v>364.53537235111799</v>
      </c>
      <c r="AI239">
        <f t="shared" si="87"/>
        <v>216.6612554227379</v>
      </c>
    </row>
    <row r="240" spans="1:35" x14ac:dyDescent="0.2">
      <c r="A240">
        <f t="shared" si="77"/>
        <v>236</v>
      </c>
      <c r="B240" s="1">
        <v>44043</v>
      </c>
      <c r="C240">
        <v>6.0253923236464058E-3</v>
      </c>
      <c r="D240" s="212">
        <v>3.3918272559329443E-2</v>
      </c>
      <c r="E240">
        <v>8.1166384738992514E-2</v>
      </c>
      <c r="F240">
        <v>-4.9137182148799141E-2</v>
      </c>
      <c r="G240">
        <v>2.7419661633080183E-2</v>
      </c>
      <c r="H240">
        <v>2.6387386501458776E-2</v>
      </c>
      <c r="I240">
        <v>3.7206823530522293E-3</v>
      </c>
      <c r="J240">
        <v>7.5315433598108772E-3</v>
      </c>
      <c r="K240">
        <v>9.0870226183259462E-5</v>
      </c>
      <c r="Z240" s="1">
        <f t="shared" si="78"/>
        <v>44043</v>
      </c>
      <c r="AA240">
        <f t="shared" si="79"/>
        <v>420.29986834730283</v>
      </c>
      <c r="AB240">
        <f t="shared" si="80"/>
        <v>253.22604709600756</v>
      </c>
      <c r="AC240">
        <f t="shared" si="81"/>
        <v>638.51200000000074</v>
      </c>
      <c r="AD240">
        <f t="shared" si="82"/>
        <v>219.07592886280565</v>
      </c>
      <c r="AE240">
        <f t="shared" si="83"/>
        <v>388.90299999999985</v>
      </c>
      <c r="AF240">
        <f t="shared" si="84"/>
        <v>271.13477940858138</v>
      </c>
      <c r="AG240">
        <f t="shared" si="85"/>
        <v>303.29385086463486</v>
      </c>
      <c r="AH240">
        <f t="shared" si="86"/>
        <v>367.28088631416523</v>
      </c>
      <c r="AI240">
        <f t="shared" si="87"/>
        <v>216.6809434800233</v>
      </c>
    </row>
    <row r="241" spans="1:35" x14ac:dyDescent="0.2">
      <c r="A241">
        <f t="shared" si="77"/>
        <v>237</v>
      </c>
      <c r="B241" s="1">
        <v>44074</v>
      </c>
      <c r="C241">
        <v>3.0492977872416782E-2</v>
      </c>
      <c r="D241" s="212">
        <v>6.2685698182527227E-2</v>
      </c>
      <c r="E241">
        <v>2.1739607086476154E-2</v>
      </c>
      <c r="F241">
        <v>7.7195250833272056E-2</v>
      </c>
      <c r="G241">
        <v>3.4867306243460128E-3</v>
      </c>
      <c r="H241">
        <v>1.722981604496665E-2</v>
      </c>
      <c r="I241">
        <v>-4.2202820318966161E-3</v>
      </c>
      <c r="J241">
        <v>-9.3126487516588252E-3</v>
      </c>
      <c r="K241">
        <v>9.2939213810483423E-5</v>
      </c>
      <c r="Z241" s="1">
        <f t="shared" si="78"/>
        <v>44074</v>
      </c>
      <c r="AA241">
        <f t="shared" si="79"/>
        <v>433.11606293259683</v>
      </c>
      <c r="AB241">
        <f t="shared" si="80"/>
        <v>269.0996986562223</v>
      </c>
      <c r="AC241">
        <f t="shared" si="81"/>
        <v>652.39300000000082</v>
      </c>
      <c r="AD241">
        <f t="shared" si="82"/>
        <v>235.98755014290199</v>
      </c>
      <c r="AE241">
        <f t="shared" si="83"/>
        <v>390.2589999999999</v>
      </c>
      <c r="AF241">
        <f t="shared" si="84"/>
        <v>275.80638178118386</v>
      </c>
      <c r="AG241">
        <f t="shared" si="85"/>
        <v>302.01386527544611</v>
      </c>
      <c r="AH241">
        <f t="shared" si="86"/>
        <v>363.86052842672348</v>
      </c>
      <c r="AI241">
        <f t="shared" si="87"/>
        <v>216.70108163655806</v>
      </c>
    </row>
    <row r="242" spans="1:35" x14ac:dyDescent="0.2">
      <c r="A242">
        <f t="shared" si="77"/>
        <v>238</v>
      </c>
      <c r="B242" s="1">
        <v>44104</v>
      </c>
      <c r="C242">
        <v>-3.5947779789339163E-2</v>
      </c>
      <c r="D242" s="212">
        <v>-2.8908005706350548E-2</v>
      </c>
      <c r="E242">
        <v>-1.6491593257438431E-2</v>
      </c>
      <c r="F242">
        <v>-1.2161288004024939E-2</v>
      </c>
      <c r="G242">
        <v>-5.5091618643010598E-4</v>
      </c>
      <c r="H242">
        <v>-9.3088237602624302E-3</v>
      </c>
      <c r="I242">
        <v>1.0754819208260713E-2</v>
      </c>
      <c r="J242">
        <v>6.4353362096178923E-3</v>
      </c>
      <c r="K242">
        <v>7.1669911522187491E-5</v>
      </c>
      <c r="Z242" s="1">
        <f t="shared" si="78"/>
        <v>44104</v>
      </c>
      <c r="AA242">
        <f t="shared" si="79"/>
        <v>417.54650207907031</v>
      </c>
      <c r="AB242">
        <f t="shared" si="80"/>
        <v>261.32056303189103</v>
      </c>
      <c r="AC242">
        <f t="shared" si="81"/>
        <v>641.63400000000081</v>
      </c>
      <c r="AD242">
        <f t="shared" si="82"/>
        <v>233.11763758024989</v>
      </c>
      <c r="AE242">
        <f t="shared" si="83"/>
        <v>390.04399999999987</v>
      </c>
      <c r="AF242">
        <f t="shared" si="84"/>
        <v>273.23894878122718</v>
      </c>
      <c r="AG242">
        <f t="shared" si="85"/>
        <v>305.26196979487156</v>
      </c>
      <c r="AH242">
        <f t="shared" si="86"/>
        <v>366.20209326055868</v>
      </c>
      <c r="AI242">
        <f t="shared" si="87"/>
        <v>216.71661258390571</v>
      </c>
    </row>
    <row r="243" spans="1:35" x14ac:dyDescent="0.2">
      <c r="A243">
        <f t="shared" si="77"/>
        <v>239</v>
      </c>
      <c r="B243" s="1">
        <v>44134</v>
      </c>
      <c r="C243">
        <v>1.8875428602111333E-2</v>
      </c>
      <c r="D243" s="212">
        <v>-3.0527498205938697E-2</v>
      </c>
      <c r="E243">
        <v>1.4927513192879438E-2</v>
      </c>
      <c r="F243">
        <v>-1.8557458635894086E-2</v>
      </c>
      <c r="G243">
        <v>-8.5785193465353071E-3</v>
      </c>
      <c r="H243">
        <v>-4.6585327206465355E-3</v>
      </c>
      <c r="I243">
        <v>2.7858890615408693E-3</v>
      </c>
      <c r="J243">
        <v>-6.2603544170902747E-4</v>
      </c>
      <c r="K243">
        <v>1.113598909234792E-4</v>
      </c>
      <c r="Z243" s="1">
        <f t="shared" si="78"/>
        <v>44134</v>
      </c>
      <c r="AA243">
        <f t="shared" si="79"/>
        <v>425.42787126712511</v>
      </c>
      <c r="AB243">
        <f t="shared" si="80"/>
        <v>253.34310001276009</v>
      </c>
      <c r="AC243">
        <f t="shared" si="81"/>
        <v>651.21200000000078</v>
      </c>
      <c r="AD243">
        <f t="shared" si="82"/>
        <v>228.79156666355706</v>
      </c>
      <c r="AE243">
        <f t="shared" si="83"/>
        <v>386.69799999999987</v>
      </c>
      <c r="AF243">
        <f t="shared" si="84"/>
        <v>271.96605619777478</v>
      </c>
      <c r="AG243">
        <f t="shared" si="85"/>
        <v>306.11239577742754</v>
      </c>
      <c r="AH243">
        <f t="shared" si="86"/>
        <v>365.97283777134953</v>
      </c>
      <c r="AI243">
        <f t="shared" si="87"/>
        <v>216.74074612224436</v>
      </c>
    </row>
    <row r="244" spans="1:35" x14ac:dyDescent="0.2">
      <c r="A244">
        <f t="shared" si="77"/>
        <v>240</v>
      </c>
      <c r="B244" s="1">
        <v>44165</v>
      </c>
      <c r="C244">
        <v>0.10228126804861271</v>
      </c>
      <c r="D244" s="212">
        <v>0.11972625938910508</v>
      </c>
      <c r="E244">
        <v>7.774426761177633E-2</v>
      </c>
      <c r="F244">
        <v>0.19702344546381245</v>
      </c>
      <c r="G244">
        <v>5.1792354757459469E-2</v>
      </c>
      <c r="H244">
        <v>2.9896841569027055E-2</v>
      </c>
      <c r="I244">
        <v>-1.087348903149099E-3</v>
      </c>
      <c r="J244">
        <v>1.1244310167193294E-3</v>
      </c>
      <c r="K244">
        <v>7.0227629000108038E-5</v>
      </c>
      <c r="Z244" s="1">
        <f t="shared" si="78"/>
        <v>44165</v>
      </c>
      <c r="AA244">
        <f t="shared" si="79"/>
        <v>468.94117340354865</v>
      </c>
      <c r="AB244">
        <f t="shared" si="80"/>
        <v>283.67492171932781</v>
      </c>
      <c r="AC244">
        <f t="shared" si="81"/>
        <v>701.84000000000094</v>
      </c>
      <c r="AD244">
        <f t="shared" si="82"/>
        <v>273.86886942067463</v>
      </c>
      <c r="AE244">
        <f t="shared" si="83"/>
        <v>406.72599999999994</v>
      </c>
      <c r="AF244">
        <f t="shared" si="84"/>
        <v>280.09698229207277</v>
      </c>
      <c r="AG244">
        <f t="shared" si="85"/>
        <v>305.77954479963859</v>
      </c>
      <c r="AH244">
        <f t="shared" si="86"/>
        <v>366.38434898141645</v>
      </c>
      <c r="AI244">
        <f t="shared" si="87"/>
        <v>216.75596731095223</v>
      </c>
    </row>
    <row r="245" spans="1:35" x14ac:dyDescent="0.2">
      <c r="A245">
        <f t="shared" si="77"/>
        <v>241</v>
      </c>
      <c r="B245" s="1">
        <v>44196</v>
      </c>
      <c r="C245">
        <v>1.3196385566281332E-2</v>
      </c>
      <c r="D245" s="212">
        <v>3.5066842676198418E-2</v>
      </c>
      <c r="E245">
        <v>6.0660549412971498E-2</v>
      </c>
      <c r="F245">
        <v>-1.0457471812514885E-2</v>
      </c>
      <c r="G245">
        <v>2.6897714923559413E-3</v>
      </c>
      <c r="H245">
        <v>3.780876124524668E-2</v>
      </c>
      <c r="I245">
        <v>-2.7212380822326798E-3</v>
      </c>
      <c r="J245">
        <v>1.7912166635403182E-3</v>
      </c>
      <c r="K245">
        <v>2.5650020960776843E-5</v>
      </c>
      <c r="Z245" s="1">
        <f t="shared" si="78"/>
        <v>44196</v>
      </c>
      <c r="AA245">
        <f t="shared" si="79"/>
        <v>475.12950193568628</v>
      </c>
      <c r="AB245">
        <f t="shared" si="80"/>
        <v>293.6225055704424</v>
      </c>
      <c r="AC245">
        <f t="shared" si="81"/>
        <v>744.4140000000009</v>
      </c>
      <c r="AD245">
        <f t="shared" si="82"/>
        <v>271.00489343838262</v>
      </c>
      <c r="AE245">
        <f t="shared" si="83"/>
        <v>407.81999999999988</v>
      </c>
      <c r="AF245">
        <f t="shared" si="84"/>
        <v>290.68710222106785</v>
      </c>
      <c r="AG245">
        <f t="shared" si="85"/>
        <v>304.94744585756206</v>
      </c>
      <c r="AH245">
        <f t="shared" si="86"/>
        <v>367.04062273257233</v>
      </c>
      <c r="AI245">
        <f t="shared" si="87"/>
        <v>216.76152710605712</v>
      </c>
    </row>
    <row r="246" spans="1:35" x14ac:dyDescent="0.2">
      <c r="A246">
        <f t="shared" si="77"/>
        <v>242</v>
      </c>
      <c r="B246" s="1">
        <v>44225</v>
      </c>
      <c r="C246">
        <v>3.317374708886156E-3</v>
      </c>
      <c r="D246" s="212">
        <v>-7.7224639943730411E-3</v>
      </c>
      <c r="E246">
        <v>3.8054093555467849E-2</v>
      </c>
      <c r="F246">
        <v>-3.002659990611789E-2</v>
      </c>
      <c r="G246">
        <v>-1.1090677259575354E-2</v>
      </c>
      <c r="H246">
        <v>-2.2490318736967385E-3</v>
      </c>
      <c r="I246">
        <v>-4.1928174482669389E-3</v>
      </c>
      <c r="J246">
        <v>-6.5240602103785461E-3</v>
      </c>
      <c r="K246">
        <v>1.2360163757607623E-5</v>
      </c>
      <c r="Z246" s="1">
        <f t="shared" si="78"/>
        <v>44225</v>
      </c>
      <c r="AA246">
        <f t="shared" si="79"/>
        <v>476.7056845288534</v>
      </c>
      <c r="AB246">
        <f t="shared" si="80"/>
        <v>291.35501634323708</v>
      </c>
      <c r="AC246">
        <f t="shared" si="81"/>
        <v>772.74200000000098</v>
      </c>
      <c r="AD246">
        <f t="shared" si="82"/>
        <v>262.86753793050821</v>
      </c>
      <c r="AE246">
        <f t="shared" si="83"/>
        <v>403.29699999999985</v>
      </c>
      <c r="AF246">
        <f t="shared" si="84"/>
        <v>290.03333766290012</v>
      </c>
      <c r="AG246">
        <f t="shared" si="85"/>
        <v>303.66885688576605</v>
      </c>
      <c r="AH246">
        <f t="shared" si="86"/>
        <v>364.64602761021018</v>
      </c>
      <c r="AI246">
        <f t="shared" si="87"/>
        <v>216.76420631402848</v>
      </c>
    </row>
    <row r="247" spans="1:35" x14ac:dyDescent="0.2">
      <c r="A247">
        <f t="shared" si="77"/>
        <v>243</v>
      </c>
      <c r="B247" s="1">
        <v>44253</v>
      </c>
      <c r="C247">
        <v>1.4760429110920681E-2</v>
      </c>
      <c r="D247" s="212">
        <v>2.6472949014356262E-2</v>
      </c>
      <c r="E247">
        <v>1.0330744284638316E-2</v>
      </c>
      <c r="F247">
        <v>-6.323498572373687E-4</v>
      </c>
      <c r="G247">
        <v>-1.1480373025338553E-2</v>
      </c>
      <c r="H247">
        <v>2.3347116690799918E-2</v>
      </c>
      <c r="I247">
        <v>-3.5808856490877949E-2</v>
      </c>
      <c r="J247">
        <v>-1.8591874953732934E-2</v>
      </c>
      <c r="K247">
        <v>-4.5597564968247184E-6</v>
      </c>
      <c r="Z247" s="1">
        <f t="shared" si="78"/>
        <v>44253</v>
      </c>
      <c r="AA247">
        <f t="shared" si="79"/>
        <v>483.74206499211448</v>
      </c>
      <c r="AB247">
        <f t="shared" si="80"/>
        <v>299.06804283596853</v>
      </c>
      <c r="AC247">
        <f t="shared" si="81"/>
        <v>780.72500000000093</v>
      </c>
      <c r="AD247">
        <f t="shared" si="82"/>
        <v>262.70131368042553</v>
      </c>
      <c r="AE247">
        <f t="shared" si="83"/>
        <v>398.66699999999992</v>
      </c>
      <c r="AF247">
        <f t="shared" si="84"/>
        <v>296.80477984153805</v>
      </c>
      <c r="AG247">
        <f t="shared" si="85"/>
        <v>292.79482236879471</v>
      </c>
      <c r="AH247">
        <f t="shared" si="86"/>
        <v>357.86657426250571</v>
      </c>
      <c r="AI247">
        <f t="shared" si="87"/>
        <v>216.76321792203046</v>
      </c>
    </row>
    <row r="248" spans="1:35" x14ac:dyDescent="0.2">
      <c r="A248">
        <f t="shared" si="77"/>
        <v>244</v>
      </c>
      <c r="B248" s="1">
        <v>44286</v>
      </c>
      <c r="C248">
        <v>2.2963662760931758E-2</v>
      </c>
      <c r="D248" s="212">
        <v>4.2091324532122165E-2</v>
      </c>
      <c r="E248">
        <v>-8.7111338819687578E-3</v>
      </c>
      <c r="F248">
        <v>5.0939601432081094E-2</v>
      </c>
      <c r="G248">
        <v>8.5518440201973078E-2</v>
      </c>
      <c r="H248">
        <v>7.3373885898502245E-3</v>
      </c>
      <c r="I248">
        <v>8.0035908981130888E-3</v>
      </c>
      <c r="J248">
        <v>-2.1088209379920286E-3</v>
      </c>
      <c r="K248">
        <v>2.0267894088599192E-5</v>
      </c>
      <c r="Z248" s="1">
        <f t="shared" si="78"/>
        <v>44286</v>
      </c>
      <c r="AA248">
        <f t="shared" si="79"/>
        <v>494.85055463587014</v>
      </c>
      <c r="AB248">
        <f t="shared" si="80"/>
        <v>311.65621288416389</v>
      </c>
      <c r="AC248">
        <f t="shared" si="81"/>
        <v>773.92400000000089</v>
      </c>
      <c r="AD248">
        <f t="shared" si="82"/>
        <v>276.08321389499054</v>
      </c>
      <c r="AE248">
        <f t="shared" si="83"/>
        <v>432.76037999999988</v>
      </c>
      <c r="AF248">
        <f t="shared" si="84"/>
        <v>298.98255184656034</v>
      </c>
      <c r="AG248">
        <f t="shared" si="85"/>
        <v>295.13823234412024</v>
      </c>
      <c r="AH248">
        <f t="shared" si="86"/>
        <v>357.11189773769348</v>
      </c>
      <c r="AI248">
        <f t="shared" si="87"/>
        <v>216.76761125597361</v>
      </c>
    </row>
    <row r="249" spans="1:35" x14ac:dyDescent="0.2">
      <c r="A249">
        <f t="shared" si="77"/>
        <v>245</v>
      </c>
      <c r="B249" s="1">
        <v>44316</v>
      </c>
      <c r="C249">
        <v>3.6973984187422371E-2</v>
      </c>
      <c r="D249" s="212">
        <v>4.0437661020579219E-2</v>
      </c>
      <c r="E249">
        <v>1.6033874127175274E-2</v>
      </c>
      <c r="F249">
        <v>1.7245298551935573E-2</v>
      </c>
      <c r="G249">
        <v>2.7810817616899186E-2</v>
      </c>
      <c r="H249">
        <v>2.5920991658943571E-2</v>
      </c>
      <c r="I249">
        <v>5.6216131231940913E-3</v>
      </c>
      <c r="J249">
        <v>4.2297714797601138E-4</v>
      </c>
      <c r="K249">
        <v>2.8894633244291867E-5</v>
      </c>
      <c r="Z249" s="1">
        <f t="shared" si="78"/>
        <v>44316</v>
      </c>
      <c r="AA249">
        <f t="shared" si="79"/>
        <v>513.147151218114</v>
      </c>
      <c r="AB249">
        <f t="shared" si="80"/>
        <v>324.25886117573117</v>
      </c>
      <c r="AC249">
        <f t="shared" si="81"/>
        <v>786.33300000000088</v>
      </c>
      <c r="AD249">
        <f t="shared" si="82"/>
        <v>280.84435134378754</v>
      </c>
      <c r="AE249">
        <f t="shared" si="83"/>
        <v>444.79579999999987</v>
      </c>
      <c r="AF249">
        <f t="shared" si="84"/>
        <v>306.7324760791447</v>
      </c>
      <c r="AG249">
        <f t="shared" si="85"/>
        <v>296.79738530422225</v>
      </c>
      <c r="AH249">
        <f t="shared" si="86"/>
        <v>357.2629479097069</v>
      </c>
      <c r="AI249">
        <f t="shared" si="87"/>
        <v>216.77387467660009</v>
      </c>
    </row>
    <row r="250" spans="1:35" x14ac:dyDescent="0.2">
      <c r="A250">
        <f t="shared" si="77"/>
        <v>246</v>
      </c>
      <c r="B250" s="1">
        <v>44347</v>
      </c>
      <c r="C250">
        <v>2.3081450479854881E-2</v>
      </c>
      <c r="D250" s="212">
        <v>1.0319356842478644E-2</v>
      </c>
      <c r="E250">
        <v>1.3481565697993192E-2</v>
      </c>
      <c r="F250">
        <v>1.0001449485432579E-2</v>
      </c>
      <c r="G250">
        <v>-1.1585091405987846E-3</v>
      </c>
      <c r="H250">
        <v>1.1009795895322139E-2</v>
      </c>
      <c r="I250">
        <v>2.6500355130689712E-3</v>
      </c>
      <c r="J250">
        <v>1.6598450918421381E-3</v>
      </c>
      <c r="K250">
        <v>3.9357601422818078E-5</v>
      </c>
      <c r="Z250" s="1">
        <f t="shared" si="78"/>
        <v>44347</v>
      </c>
      <c r="AA250">
        <f t="shared" si="79"/>
        <v>524.99133177783347</v>
      </c>
      <c r="AB250">
        <f t="shared" si="80"/>
        <v>327.60500407353931</v>
      </c>
      <c r="AC250">
        <f t="shared" si="81"/>
        <v>796.93400000000099</v>
      </c>
      <c r="AD250">
        <f t="shared" si="82"/>
        <v>283.65320193702149</v>
      </c>
      <c r="AE250">
        <f t="shared" si="83"/>
        <v>444.2804999999999</v>
      </c>
      <c r="AF250">
        <f t="shared" si="84"/>
        <v>310.10953803524285</v>
      </c>
      <c r="AG250">
        <f t="shared" si="85"/>
        <v>297.58390891546446</v>
      </c>
      <c r="AH250">
        <f t="shared" si="86"/>
        <v>357.85594906029189</v>
      </c>
      <c r="AI250">
        <f t="shared" si="87"/>
        <v>216.78240637635849</v>
      </c>
    </row>
    <row r="251" spans="1:35" x14ac:dyDescent="0.2">
      <c r="A251">
        <f t="shared" si="77"/>
        <v>247</v>
      </c>
      <c r="B251" s="1">
        <v>44377</v>
      </c>
      <c r="C251">
        <v>2.2536632455849359E-2</v>
      </c>
      <c r="D251" s="212">
        <v>2.342053274843181E-2</v>
      </c>
      <c r="E251">
        <v>8.3382061751662295E-3</v>
      </c>
      <c r="F251">
        <v>3.4781022770761449E-2</v>
      </c>
      <c r="G251">
        <v>-3.1153066587439326E-3</v>
      </c>
      <c r="H251">
        <v>-6.7433613492308142E-3</v>
      </c>
      <c r="I251">
        <v>6.881363760136594E-3</v>
      </c>
      <c r="J251">
        <v>3.9954837151336964E-3</v>
      </c>
      <c r="K251">
        <v>2.6146838561391661E-5</v>
      </c>
      <c r="Z251" s="1">
        <f t="shared" si="78"/>
        <v>44377</v>
      </c>
      <c r="AA251">
        <f t="shared" si="79"/>
        <v>536.82286846461739</v>
      </c>
      <c r="AB251">
        <f t="shared" si="80"/>
        <v>335.27768779999377</v>
      </c>
      <c r="AC251">
        <f t="shared" si="81"/>
        <v>803.57900000000097</v>
      </c>
      <c r="AD251">
        <f t="shared" si="82"/>
        <v>293.51895041259246</v>
      </c>
      <c r="AE251">
        <f t="shared" si="83"/>
        <v>442.89642999999984</v>
      </c>
      <c r="AF251">
        <f t="shared" si="84"/>
        <v>308.01835736242816</v>
      </c>
      <c r="AG251">
        <f t="shared" si="85"/>
        <v>299.63169204187511</v>
      </c>
      <c r="AH251">
        <f t="shared" si="86"/>
        <v>359.28575667712602</v>
      </c>
      <c r="AI251">
        <f t="shared" si="87"/>
        <v>216.78807455094096</v>
      </c>
    </row>
    <row r="252" spans="1:35" x14ac:dyDescent="0.2">
      <c r="A252">
        <f t="shared" si="77"/>
        <v>248</v>
      </c>
      <c r="B252" s="1">
        <v>44407</v>
      </c>
      <c r="C252">
        <v>1.1058328298947373E-2</v>
      </c>
      <c r="D252" s="212">
        <v>1.7143441836444673E-2</v>
      </c>
      <c r="E252">
        <v>-6.1051869200165698E-2</v>
      </c>
      <c r="F252">
        <v>-2.9038102034978586E-2</v>
      </c>
      <c r="G252">
        <v>1.7724617920266583E-2</v>
      </c>
      <c r="H252">
        <v>2.8393517282094827E-3</v>
      </c>
      <c r="I252">
        <v>1.7606738790901355E-2</v>
      </c>
      <c r="J252">
        <v>1.4396516445853935E-2</v>
      </c>
      <c r="K252">
        <v>2.9931677415717672E-5</v>
      </c>
      <c r="Z252" s="1">
        <f t="shared" si="78"/>
        <v>44407</v>
      </c>
      <c r="AA252">
        <f t="shared" si="79"/>
        <v>542.75923198248177</v>
      </c>
      <c r="AB252">
        <f t="shared" si="80"/>
        <v>341.02550133985062</v>
      </c>
      <c r="AC252">
        <f t="shared" si="81"/>
        <v>754.51900000000091</v>
      </c>
      <c r="AD252">
        <f t="shared" si="82"/>
        <v>284.99571718131176</v>
      </c>
      <c r="AE252">
        <f t="shared" si="83"/>
        <v>450.74659999999994</v>
      </c>
      <c r="AF252">
        <f t="shared" si="84"/>
        <v>308.89292981772542</v>
      </c>
      <c r="AG252">
        <f t="shared" si="85"/>
        <v>304.90722897713221</v>
      </c>
      <c r="AH252">
        <f t="shared" si="86"/>
        <v>364.45821998188933</v>
      </c>
      <c r="AI252">
        <f t="shared" si="87"/>
        <v>216.79456338165599</v>
      </c>
    </row>
    <row r="253" spans="1:35" x14ac:dyDescent="0.2">
      <c r="A253">
        <f t="shared" si="77"/>
        <v>249</v>
      </c>
      <c r="B253" s="1">
        <v>44439</v>
      </c>
      <c r="C253">
        <v>2.6089571136193257E-2</v>
      </c>
      <c r="D253" s="212">
        <v>2.6731981191420173E-2</v>
      </c>
      <c r="E253">
        <v>2.2605129890698628E-2</v>
      </c>
      <c r="F253">
        <v>7.6034007147809834E-2</v>
      </c>
      <c r="G253">
        <v>2.0887345572878191E-2</v>
      </c>
      <c r="H253">
        <v>9.2368070642649958E-3</v>
      </c>
      <c r="I253">
        <v>9.1216721507625387E-4</v>
      </c>
      <c r="J253">
        <v>-2.6986608338821494E-3</v>
      </c>
      <c r="K253">
        <v>1.5255808691660988E-5</v>
      </c>
      <c r="Z253" s="1">
        <f t="shared" si="78"/>
        <v>44439</v>
      </c>
      <c r="AA253">
        <f t="shared" si="79"/>
        <v>556.91958757511429</v>
      </c>
      <c r="AB253">
        <f t="shared" si="80"/>
        <v>350.14178862746212</v>
      </c>
      <c r="AC253">
        <f t="shared" si="81"/>
        <v>771.57500000000095</v>
      </c>
      <c r="AD253">
        <f t="shared" si="82"/>
        <v>306.66508357857083</v>
      </c>
      <c r="AE253">
        <f t="shared" si="83"/>
        <v>460.16149999999982</v>
      </c>
      <c r="AF253">
        <f t="shared" si="84"/>
        <v>311.7461142139673</v>
      </c>
      <c r="AG253">
        <f t="shared" si="85"/>
        <v>305.18535535504492</v>
      </c>
      <c r="AH253">
        <f t="shared" si="86"/>
        <v>363.47467085803783</v>
      </c>
      <c r="AI253">
        <f t="shared" si="87"/>
        <v>216.79787075804035</v>
      </c>
    </row>
    <row r="254" spans="1:35" x14ac:dyDescent="0.2">
      <c r="A254">
        <f t="shared" si="77"/>
        <v>250</v>
      </c>
      <c r="B254" s="1">
        <v>44469</v>
      </c>
      <c r="C254">
        <v>-1.8869660060105042E-2</v>
      </c>
      <c r="D254" s="212">
        <v>-3.6871560531905212E-2</v>
      </c>
      <c r="E254">
        <v>-2.8203350289991325E-2</v>
      </c>
      <c r="F254">
        <v>3.6476971664667346E-3</v>
      </c>
      <c r="G254">
        <v>-4.4050338848426018E-2</v>
      </c>
      <c r="H254">
        <v>-1.8054552524859879E-4</v>
      </c>
      <c r="I254">
        <v>-1.5149115215910447E-2</v>
      </c>
      <c r="J254">
        <v>-1.1209403637288728E-2</v>
      </c>
      <c r="K254">
        <v>5.5012296351630852E-6</v>
      </c>
      <c r="Z254" s="1">
        <f t="shared" si="78"/>
        <v>44469</v>
      </c>
      <c r="AA254">
        <f t="shared" si="79"/>
        <v>546.410704276758</v>
      </c>
      <c r="AB254">
        <f t="shared" si="80"/>
        <v>337.2315144733351</v>
      </c>
      <c r="AC254">
        <f t="shared" si="81"/>
        <v>749.81400000000087</v>
      </c>
      <c r="AD254">
        <f t="shared" si="82"/>
        <v>307.78370493499466</v>
      </c>
      <c r="AE254">
        <f t="shared" si="83"/>
        <v>439.89122999999984</v>
      </c>
      <c r="AF254">
        <f t="shared" si="84"/>
        <v>311.68982984803233</v>
      </c>
      <c r="AG254">
        <f t="shared" si="85"/>
        <v>300.5620672445628</v>
      </c>
      <c r="AH254">
        <f t="shared" si="86"/>
        <v>359.40033656045944</v>
      </c>
      <c r="AI254">
        <f t="shared" si="87"/>
        <v>216.79906341291181</v>
      </c>
    </row>
    <row r="255" spans="1:35" x14ac:dyDescent="0.2">
      <c r="A255">
        <f t="shared" si="77"/>
        <v>251</v>
      </c>
      <c r="B255" s="1">
        <v>44498</v>
      </c>
      <c r="C255">
        <v>9.9584937518781835E-4</v>
      </c>
      <c r="D255" s="212">
        <v>5.5045772756452394E-2</v>
      </c>
      <c r="E255">
        <v>8.9182117165056418E-3</v>
      </c>
      <c r="F255">
        <v>5.2629113543867234E-3</v>
      </c>
      <c r="G255">
        <v>5.9335986307342381E-2</v>
      </c>
      <c r="H255">
        <v>1.2779375199677867E-2</v>
      </c>
      <c r="I255">
        <v>-3.5549135332438531E-2</v>
      </c>
      <c r="J255">
        <v>-2.7899073271356878E-3</v>
      </c>
      <c r="K255">
        <v>-1.0582299093564451E-5</v>
      </c>
      <c r="Z255" s="1">
        <f t="shared" si="78"/>
        <v>44498</v>
      </c>
      <c r="AA255">
        <f t="shared" si="79"/>
        <v>546.95484703520799</v>
      </c>
      <c r="AB255">
        <f t="shared" si="80"/>
        <v>355.79468378534858</v>
      </c>
      <c r="AC255">
        <f t="shared" si="81"/>
        <v>756.50100000000089</v>
      </c>
      <c r="AD255">
        <f t="shared" si="82"/>
        <v>309.40354329039224</v>
      </c>
      <c r="AE255">
        <f t="shared" si="83"/>
        <v>465.99260999999984</v>
      </c>
      <c r="AF255">
        <f t="shared" si="84"/>
        <v>315.6730311295841</v>
      </c>
      <c r="AG255">
        <f t="shared" si="85"/>
        <v>289.87734564028835</v>
      </c>
      <c r="AH255">
        <f t="shared" si="86"/>
        <v>358.39764292811435</v>
      </c>
      <c r="AI255">
        <f t="shared" si="87"/>
        <v>216.79676918037956</v>
      </c>
    </row>
    <row r="256" spans="1:35" x14ac:dyDescent="0.2">
      <c r="A256">
        <f t="shared" si="77"/>
        <v>252</v>
      </c>
      <c r="B256" s="1">
        <v>44530</v>
      </c>
      <c r="C256">
        <v>-5.3158029762824244E-3</v>
      </c>
      <c r="D256" s="212">
        <v>-1.4674612271067367E-2</v>
      </c>
      <c r="E256">
        <v>-3.221542337683625E-2</v>
      </c>
      <c r="F256">
        <v>1.2690946667872627E-3</v>
      </c>
      <c r="G256">
        <v>-2.565450555106441E-2</v>
      </c>
      <c r="H256">
        <v>-2.209543141638437E-2</v>
      </c>
      <c r="I256">
        <v>2.081260299618104E-2</v>
      </c>
      <c r="J256">
        <v>1.1357778709606858E-2</v>
      </c>
      <c r="K256">
        <v>5.5468150502946401E-5</v>
      </c>
      <c r="Z256" s="1">
        <f t="shared" si="78"/>
        <v>44530</v>
      </c>
      <c r="AA256">
        <f t="shared" si="79"/>
        <v>544.04734283144614</v>
      </c>
      <c r="AB256">
        <f t="shared" si="80"/>
        <v>350.57353475269156</v>
      </c>
      <c r="AC256">
        <f t="shared" si="81"/>
        <v>732.1300000000009</v>
      </c>
      <c r="AD256">
        <f t="shared" si="82"/>
        <v>309.79620567706718</v>
      </c>
      <c r="AE256">
        <f t="shared" si="83"/>
        <v>454.03779999999983</v>
      </c>
      <c r="AF256">
        <f t="shared" si="84"/>
        <v>308.69809932025822</v>
      </c>
      <c r="AG256">
        <f t="shared" si="85"/>
        <v>295.91044775268642</v>
      </c>
      <c r="AH256">
        <f t="shared" si="86"/>
        <v>362.4682440465366</v>
      </c>
      <c r="AI256">
        <f t="shared" si="87"/>
        <v>216.80879449620102</v>
      </c>
    </row>
    <row r="257" spans="1:35" x14ac:dyDescent="0.2">
      <c r="A257">
        <f t="shared" si="77"/>
        <v>253</v>
      </c>
      <c r="B257" s="1">
        <v>44561</v>
      </c>
      <c r="C257">
        <v>2.65067440260216E-2</v>
      </c>
      <c r="D257" s="212">
        <v>3.9970035318117825E-2</v>
      </c>
      <c r="E257">
        <v>1.4845724120033266E-2</v>
      </c>
      <c r="F257">
        <v>3.6688658326261336E-2</v>
      </c>
      <c r="G257">
        <v>6.8673709545769235E-2</v>
      </c>
      <c r="H257">
        <v>1.9158485273492287E-2</v>
      </c>
      <c r="I257">
        <v>9.1514599858388834E-4</v>
      </c>
      <c r="J257">
        <v>-7.3270472224166161E-3</v>
      </c>
      <c r="K257">
        <v>3.6285448455686264E-5</v>
      </c>
      <c r="Z257" s="1">
        <f t="shared" si="78"/>
        <v>44561</v>
      </c>
      <c r="AA257">
        <f t="shared" si="79"/>
        <v>558.4682664859165</v>
      </c>
      <c r="AB257">
        <f t="shared" si="80"/>
        <v>364.58597131835404</v>
      </c>
      <c r="AC257">
        <f t="shared" si="81"/>
        <v>742.99900000000082</v>
      </c>
      <c r="AD257">
        <f t="shared" si="82"/>
        <v>321.16221281792525</v>
      </c>
      <c r="AE257">
        <f t="shared" si="83"/>
        <v>485.21825999999987</v>
      </c>
      <c r="AF257">
        <f t="shared" si="84"/>
        <v>314.61228731004047</v>
      </c>
      <c r="AG257">
        <f t="shared" si="85"/>
        <v>296.18124901488648</v>
      </c>
      <c r="AH257">
        <f t="shared" si="86"/>
        <v>359.8124221057812</v>
      </c>
      <c r="AI257">
        <f t="shared" si="87"/>
        <v>216.81666150053846</v>
      </c>
    </row>
    <row r="258" spans="1:35" x14ac:dyDescent="0.2">
      <c r="A258">
        <f t="shared" si="77"/>
        <v>254</v>
      </c>
      <c r="B258" s="1">
        <v>44592</v>
      </c>
      <c r="C258">
        <v>-6.4543328227213204E-2</v>
      </c>
      <c r="D258" s="212">
        <v>-4.9318275283920077E-2</v>
      </c>
      <c r="E258">
        <v>-1.7905811447929243E-2</v>
      </c>
      <c r="F258">
        <v>-7.5119094145110088E-2</v>
      </c>
      <c r="G258">
        <v>-3.3348209113152505E-2</v>
      </c>
      <c r="H258">
        <v>-6.56428040624224E-3</v>
      </c>
      <c r="I258">
        <v>-1.0198575733071258E-2</v>
      </c>
      <c r="J258">
        <v>-1.4085200230918082E-2</v>
      </c>
      <c r="K258">
        <v>5.0210579526144272E-5</v>
      </c>
      <c r="Z258" s="1">
        <f t="shared" si="78"/>
        <v>44592</v>
      </c>
      <c r="AA258">
        <f t="shared" si="79"/>
        <v>522.42286585763327</v>
      </c>
      <c r="AB258">
        <f t="shared" si="80"/>
        <v>346.60522002022009</v>
      </c>
      <c r="AC258">
        <f t="shared" si="81"/>
        <v>729.69500000000085</v>
      </c>
      <c r="AD258">
        <f t="shared" si="82"/>
        <v>297.03679831740362</v>
      </c>
      <c r="AE258">
        <f t="shared" si="83"/>
        <v>469.0370999999999</v>
      </c>
      <c r="AF258">
        <f t="shared" si="84"/>
        <v>312.54708403688812</v>
      </c>
      <c r="AG258">
        <f t="shared" si="85"/>
        <v>293.1606221160925</v>
      </c>
      <c r="AH258">
        <f t="shared" si="86"/>
        <v>354.74439209484967</v>
      </c>
      <c r="AI258">
        <f t="shared" si="87"/>
        <v>216.82754799076332</v>
      </c>
    </row>
    <row r="259" spans="1:35" x14ac:dyDescent="0.2">
      <c r="A259">
        <f t="shared" si="77"/>
        <v>255</v>
      </c>
      <c r="B259" s="1">
        <v>44620</v>
      </c>
      <c r="C259">
        <v>2.0868932549359398E-2</v>
      </c>
      <c r="D259" s="212">
        <v>-2.6507953589664401E-2</v>
      </c>
      <c r="E259">
        <v>-2.3825022783491856E-2</v>
      </c>
      <c r="F259">
        <v>4.2258990135476626E-2</v>
      </c>
      <c r="G259">
        <v>-8.3560554165118539E-3</v>
      </c>
      <c r="H259">
        <v>3.6570668661430883E-3</v>
      </c>
      <c r="I259">
        <v>-1.2100464412283296E-2</v>
      </c>
      <c r="J259">
        <v>-9.9957770783047906E-3</v>
      </c>
      <c r="K259">
        <v>5.0883011260216549E-5</v>
      </c>
      <c r="Z259" s="1">
        <f t="shared" si="78"/>
        <v>44620</v>
      </c>
      <c r="AA259">
        <f t="shared" si="79"/>
        <v>533.32527340745924</v>
      </c>
      <c r="AB259">
        <f t="shared" si="80"/>
        <v>337.41742493398868</v>
      </c>
      <c r="AC259">
        <f t="shared" si="81"/>
        <v>712.31000000000074</v>
      </c>
      <c r="AD259">
        <f t="shared" si="82"/>
        <v>309.58927344737236</v>
      </c>
      <c r="AE259">
        <f t="shared" si="83"/>
        <v>465.11779999999987</v>
      </c>
      <c r="AF259">
        <f t="shared" si="84"/>
        <v>313.69008962202906</v>
      </c>
      <c r="AG259">
        <f t="shared" si="85"/>
        <v>289.61324244109392</v>
      </c>
      <c r="AH259">
        <f t="shared" si="86"/>
        <v>351.19844623169081</v>
      </c>
      <c r="AI259">
        <f t="shared" si="87"/>
        <v>216.83858082932926</v>
      </c>
    </row>
    <row r="260" spans="1:35" x14ac:dyDescent="0.2">
      <c r="A260">
        <f t="shared" si="77"/>
        <v>256</v>
      </c>
      <c r="B260" s="1">
        <v>44651</v>
      </c>
      <c r="C260">
        <v>6.8972921131958298E-2</v>
      </c>
      <c r="D260" s="212">
        <v>3.1073968565886734E-2</v>
      </c>
      <c r="E260">
        <v>-2.0627254987294785E-2</v>
      </c>
      <c r="F260">
        <v>9.9823036000943333E-3</v>
      </c>
      <c r="G260">
        <v>8.1464093612414024E-2</v>
      </c>
      <c r="H260">
        <v>2.4346817937145548E-2</v>
      </c>
      <c r="I260">
        <v>-3.7474803203695894E-2</v>
      </c>
      <c r="J260">
        <v>-2.0776680664424285E-2</v>
      </c>
      <c r="K260">
        <v>3.3814629295081389E-5</v>
      </c>
      <c r="Z260" s="1">
        <f t="shared" si="78"/>
        <v>44651</v>
      </c>
      <c r="AA260">
        <f t="shared" si="79"/>
        <v>570.11027542787201</v>
      </c>
      <c r="AB260">
        <f t="shared" si="80"/>
        <v>347.90232338996992</v>
      </c>
      <c r="AC260">
        <f t="shared" si="81"/>
        <v>697.61700000000076</v>
      </c>
      <c r="AD260">
        <f t="shared" si="82"/>
        <v>312.67968756625663</v>
      </c>
      <c r="AE260">
        <f t="shared" si="83"/>
        <v>503.00819999999993</v>
      </c>
      <c r="AF260">
        <f t="shared" si="84"/>
        <v>321.32744512274348</v>
      </c>
      <c r="AG260">
        <f t="shared" si="85"/>
        <v>278.76004317542964</v>
      </c>
      <c r="AH260">
        <f t="shared" si="86"/>
        <v>343.90170826449298</v>
      </c>
      <c r="AI260">
        <f t="shared" si="87"/>
        <v>216.84591314555686</v>
      </c>
    </row>
    <row r="261" spans="1:35" x14ac:dyDescent="0.2">
      <c r="A261">
        <f t="shared" si="77"/>
        <v>257</v>
      </c>
      <c r="B261" s="1">
        <v>44680</v>
      </c>
      <c r="C261">
        <v>-8.3640566429225016E-3</v>
      </c>
      <c r="D261" s="212">
        <v>-6.8950374041654494E-2</v>
      </c>
      <c r="E261">
        <v>-3.5202697181978104E-2</v>
      </c>
      <c r="F261">
        <v>-6.4118907483251553E-3</v>
      </c>
      <c r="G261">
        <v>-4.1258770731769534E-2</v>
      </c>
      <c r="H261">
        <v>3.8535645472062008E-3</v>
      </c>
      <c r="I261">
        <v>-1.4876334221928578E-2</v>
      </c>
      <c r="J261">
        <v>-2.3824189820839115E-2</v>
      </c>
      <c r="K261">
        <v>-1.5974855160638679E-4</v>
      </c>
      <c r="Z261" s="1">
        <f t="shared" si="78"/>
        <v>44680</v>
      </c>
      <c r="AA261">
        <f t="shared" si="79"/>
        <v>565.3418407914811</v>
      </c>
      <c r="AB261">
        <f t="shared" si="80"/>
        <v>323.91432806227084</v>
      </c>
      <c r="AC261">
        <f t="shared" si="81"/>
        <v>673.05900000000076</v>
      </c>
      <c r="AD261">
        <f t="shared" si="82"/>
        <v>310.67481957036136</v>
      </c>
      <c r="AE261">
        <f t="shared" si="83"/>
        <v>482.25469999999984</v>
      </c>
      <c r="AF261">
        <f t="shared" si="84"/>
        <v>322.56570117331285</v>
      </c>
      <c r="AG261">
        <f t="shared" si="85"/>
        <v>274.61311560543271</v>
      </c>
      <c r="AH261">
        <f t="shared" si="86"/>
        <v>335.70852868708886</v>
      </c>
      <c r="AI261">
        <f t="shared" si="87"/>
        <v>216.81127232501009</v>
      </c>
    </row>
    <row r="262" spans="1:35" x14ac:dyDescent="0.2">
      <c r="A262">
        <f t="shared" si="77"/>
        <v>258</v>
      </c>
      <c r="B262" s="1">
        <v>44712</v>
      </c>
      <c r="C262">
        <v>-2.759599486573272E-2</v>
      </c>
      <c r="D262" s="212">
        <v>-2.3394350567372824E-3</v>
      </c>
      <c r="E262">
        <v>-1.6863306188610316E-3</v>
      </c>
      <c r="F262">
        <v>-5.6032058876519852E-2</v>
      </c>
      <c r="G262">
        <v>1.4906231084943267E-2</v>
      </c>
      <c r="H262">
        <v>-6.2816262432384695E-3</v>
      </c>
      <c r="I262">
        <v>-8.8581547313481002E-3</v>
      </c>
      <c r="J262">
        <v>-5.8581163924609214E-3</v>
      </c>
      <c r="K262">
        <v>3.4855112819420775E-4</v>
      </c>
      <c r="Z262" s="1">
        <f t="shared" si="78"/>
        <v>44712</v>
      </c>
      <c r="AA262">
        <f t="shared" si="79"/>
        <v>549.74067025561556</v>
      </c>
      <c r="AB262">
        <f t="shared" si="80"/>
        <v>323.15655152782244</v>
      </c>
      <c r="AC262">
        <f t="shared" si="81"/>
        <v>671.92400000000077</v>
      </c>
      <c r="AD262">
        <f t="shared" si="82"/>
        <v>293.26706978874267</v>
      </c>
      <c r="AE262">
        <f t="shared" si="83"/>
        <v>489.44329999999985</v>
      </c>
      <c r="AF262">
        <f t="shared" si="84"/>
        <v>320.53946399965395</v>
      </c>
      <c r="AG262">
        <f t="shared" si="85"/>
        <v>272.18055013614219</v>
      </c>
      <c r="AH262">
        <f t="shared" si="86"/>
        <v>333.74190905209809</v>
      </c>
      <c r="AI262">
        <f t="shared" si="87"/>
        <v>216.8868421385842</v>
      </c>
    </row>
    <row r="263" spans="1:35" x14ac:dyDescent="0.2">
      <c r="A263">
        <f t="shared" si="77"/>
        <v>259</v>
      </c>
      <c r="B263" s="1">
        <v>44742</v>
      </c>
      <c r="C263">
        <v>-8.9663636435847183E-2</v>
      </c>
      <c r="D263" s="212">
        <v>-7.7741264106734098E-2</v>
      </c>
      <c r="E263">
        <v>-4.5551282585530428E-2</v>
      </c>
      <c r="F263">
        <v>-8.8340080971659907E-2</v>
      </c>
      <c r="G263">
        <v>-5.1409019185674865E-2</v>
      </c>
      <c r="H263">
        <v>-2.0571351387857151E-2</v>
      </c>
      <c r="I263">
        <v>-1.4797486583439157E-2</v>
      </c>
      <c r="J263">
        <v>-1.2264828749295575E-2</v>
      </c>
      <c r="K263">
        <v>5.025028597953618E-4</v>
      </c>
      <c r="Z263" s="1">
        <f t="shared" si="78"/>
        <v>44742</v>
      </c>
      <c r="AA263">
        <f t="shared" si="79"/>
        <v>500.44892266381709</v>
      </c>
      <c r="AB263">
        <f t="shared" si="80"/>
        <v>298.03395270767658</v>
      </c>
      <c r="AC263">
        <f t="shared" si="81"/>
        <v>641.3170000000008</v>
      </c>
      <c r="AD263">
        <f t="shared" si="82"/>
        <v>267.35983309728368</v>
      </c>
      <c r="AE263">
        <f t="shared" si="83"/>
        <v>464.28149999999982</v>
      </c>
      <c r="AF263">
        <f t="shared" si="84"/>
        <v>313.94553405204169</v>
      </c>
      <c r="AG263">
        <f t="shared" si="85"/>
        <v>268.15296209722953</v>
      </c>
      <c r="AH263">
        <f t="shared" si="86"/>
        <v>329.64862169111115</v>
      </c>
      <c r="AI263">
        <f t="shared" si="87"/>
        <v>216.99582839701083</v>
      </c>
    </row>
    <row r="264" spans="1:35" x14ac:dyDescent="0.2">
      <c r="A264">
        <f t="shared" si="77"/>
        <v>260</v>
      </c>
      <c r="B264" s="1">
        <v>44771</v>
      </c>
      <c r="C264">
        <v>5.954493195884436E-2</v>
      </c>
      <c r="D264" s="212">
        <v>7.9752183633890139E-2</v>
      </c>
      <c r="E264">
        <v>1.1070968023614292E-3</v>
      </c>
      <c r="F264">
        <v>0.10096684557116209</v>
      </c>
      <c r="G264">
        <v>6.0642735064826203E-2</v>
      </c>
      <c r="H264">
        <v>5.3370476610767881E-3</v>
      </c>
      <c r="I264">
        <v>3.3566129557715652E-2</v>
      </c>
      <c r="J264">
        <v>2.1476900615106764E-2</v>
      </c>
      <c r="K264">
        <v>1.2271434614588017E-3</v>
      </c>
      <c r="Z264" s="1">
        <f t="shared" si="78"/>
        <v>44771</v>
      </c>
      <c r="AA264">
        <f t="shared" si="79"/>
        <v>530.24811971271106</v>
      </c>
      <c r="AB264">
        <f t="shared" si="80"/>
        <v>321.80281123315331</v>
      </c>
      <c r="AC264">
        <f t="shared" si="81"/>
        <v>642.02700000000084</v>
      </c>
      <c r="AD264">
        <f t="shared" si="82"/>
        <v>294.3543120775488</v>
      </c>
      <c r="AE264">
        <f t="shared" si="83"/>
        <v>492.43679999999989</v>
      </c>
      <c r="AF264">
        <f t="shared" si="84"/>
        <v>315.62107633025965</v>
      </c>
      <c r="AG264">
        <f t="shared" si="85"/>
        <v>277.15381916427037</v>
      </c>
      <c r="AH264">
        <f t="shared" si="86"/>
        <v>336.72845237707804</v>
      </c>
      <c r="AI264">
        <f t="shared" si="87"/>
        <v>217.26211340899206</v>
      </c>
    </row>
    <row r="265" spans="1:35" x14ac:dyDescent="0.2">
      <c r="A265">
        <f t="shared" si="77"/>
        <v>261</v>
      </c>
      <c r="B265" s="1">
        <v>44804</v>
      </c>
      <c r="C265">
        <v>1.1776579317434921E-2</v>
      </c>
      <c r="D265" s="212">
        <v>-3.457828372448335E-2</v>
      </c>
      <c r="E265">
        <v>1.2077373693006432E-2</v>
      </c>
      <c r="F265">
        <v>-3.4732426343054401E-2</v>
      </c>
      <c r="G265">
        <v>-1.7424774102991591E-2</v>
      </c>
      <c r="H265">
        <v>5.0617978298741484E-3</v>
      </c>
      <c r="I265">
        <v>-2.5438307638166568E-2</v>
      </c>
      <c r="J265">
        <v>-2.5863370246080319E-2</v>
      </c>
      <c r="K265">
        <v>1.5478128571826399E-3</v>
      </c>
      <c r="Z265" s="1">
        <f t="shared" si="78"/>
        <v>44804</v>
      </c>
      <c r="AA265">
        <f t="shared" si="79"/>
        <v>536.49262875242857</v>
      </c>
      <c r="AB265">
        <f t="shared" si="80"/>
        <v>310.67542232299695</v>
      </c>
      <c r="AC265">
        <f t="shared" si="81"/>
        <v>649.78100000000074</v>
      </c>
      <c r="AD265">
        <f t="shared" si="82"/>
        <v>284.1306726145549</v>
      </c>
      <c r="AE265">
        <f t="shared" si="83"/>
        <v>483.85619999999983</v>
      </c>
      <c r="AF265">
        <f t="shared" si="84"/>
        <v>317.21868640949072</v>
      </c>
      <c r="AG265">
        <f t="shared" si="85"/>
        <v>270.10349504927689</v>
      </c>
      <c r="AH265">
        <f t="shared" si="86"/>
        <v>328.01951974086006</v>
      </c>
      <c r="AI265">
        <f t="shared" si="87"/>
        <v>217.59839450150517</v>
      </c>
    </row>
    <row r="266" spans="1:35" x14ac:dyDescent="0.2">
      <c r="A266">
        <f t="shared" si="77"/>
        <v>262</v>
      </c>
      <c r="B266" s="1">
        <v>44834</v>
      </c>
      <c r="C266">
        <v>-6.2947018576292701E-2</v>
      </c>
      <c r="D266" s="212">
        <v>-8.3050822288810333E-2</v>
      </c>
      <c r="E266">
        <v>-9.3808529335268287E-2</v>
      </c>
      <c r="F266">
        <v>-0.10970459097326479</v>
      </c>
      <c r="G266">
        <v>-0.1157881205201049</v>
      </c>
      <c r="H266">
        <v>-6.8242616148932456E-3</v>
      </c>
      <c r="I266">
        <v>-1.3624728658276242E-2</v>
      </c>
      <c r="J266">
        <v>-2.9565708155833925E-2</v>
      </c>
      <c r="K266">
        <v>1.4588127817813934E-3</v>
      </c>
      <c r="Z266" s="1">
        <f t="shared" si="78"/>
        <v>44834</v>
      </c>
      <c r="AA266">
        <f t="shared" si="79"/>
        <v>502.72201728430537</v>
      </c>
      <c r="AB266">
        <f t="shared" si="80"/>
        <v>284.87357303414865</v>
      </c>
      <c r="AC266">
        <f t="shared" si="81"/>
        <v>588.8260000000007</v>
      </c>
      <c r="AD266">
        <f t="shared" si="82"/>
        <v>252.96023339241654</v>
      </c>
      <c r="AE266">
        <f t="shared" si="83"/>
        <v>427.83139999999986</v>
      </c>
      <c r="AF266">
        <f t="shared" si="84"/>
        <v>315.05390310429959</v>
      </c>
      <c r="AG266">
        <f t="shared" si="85"/>
        <v>266.42340821957845</v>
      </c>
      <c r="AH266">
        <f t="shared" si="86"/>
        <v>318.32139035078501</v>
      </c>
      <c r="AI266">
        <f t="shared" si="87"/>
        <v>217.91582982069909</v>
      </c>
    </row>
    <row r="267" spans="1:35" x14ac:dyDescent="0.2">
      <c r="A267">
        <f t="shared" ref="A267:A301" si="88">A266+1</f>
        <v>263</v>
      </c>
      <c r="B267" s="1">
        <v>44865</v>
      </c>
      <c r="C267">
        <v>5.9636233521510817E-2</v>
      </c>
      <c r="D267" s="212">
        <v>7.1439437545192108E-2</v>
      </c>
      <c r="E267">
        <v>-2.6269220448825403E-2</v>
      </c>
      <c r="F267">
        <v>0.1052291021983216</v>
      </c>
      <c r="G267">
        <v>2.9946376072443437E-2</v>
      </c>
      <c r="H267">
        <v>5.5244063324539905E-3</v>
      </c>
      <c r="I267">
        <v>9.2673858966618727E-3</v>
      </c>
      <c r="J267">
        <v>-1.6370672439504075E-3</v>
      </c>
      <c r="K267">
        <v>2.4245851278708042E-3</v>
      </c>
      <c r="Z267" s="1">
        <f t="shared" si="78"/>
        <v>44865</v>
      </c>
      <c r="AA267">
        <f t="shared" si="79"/>
        <v>532.70246490347722</v>
      </c>
      <c r="AB267">
        <f t="shared" si="80"/>
        <v>305.22478086319745</v>
      </c>
      <c r="AC267">
        <f t="shared" si="81"/>
        <v>573.35800000000063</v>
      </c>
      <c r="AD267">
        <f t="shared" si="82"/>
        <v>279.57901164417842</v>
      </c>
      <c r="AE267">
        <f t="shared" si="83"/>
        <v>440.64339999999982</v>
      </c>
      <c r="AF267">
        <f t="shared" si="84"/>
        <v>316.79438888167334</v>
      </c>
      <c r="AG267">
        <f t="shared" si="85"/>
        <v>268.89245675545317</v>
      </c>
      <c r="AH267">
        <f t="shared" si="86"/>
        <v>317.80027682959297</v>
      </c>
      <c r="AI267">
        <f t="shared" si="87"/>
        <v>218.44418530080998</v>
      </c>
    </row>
    <row r="268" spans="1:35" x14ac:dyDescent="0.2">
      <c r="A268">
        <f t="shared" si="88"/>
        <v>264</v>
      </c>
      <c r="B268" s="1">
        <v>44895</v>
      </c>
      <c r="C268">
        <v>6.4906728075124098E-2</v>
      </c>
      <c r="D268" s="212">
        <v>5.6543117250357211E-2</v>
      </c>
      <c r="E268">
        <v>0.11682404361672827</v>
      </c>
      <c r="F268">
        <v>3.3752957592671162E-2</v>
      </c>
      <c r="G268">
        <v>6.6327556477641547E-2</v>
      </c>
      <c r="H268">
        <v>2.6376930435969559E-3</v>
      </c>
      <c r="I268">
        <v>1.5486276808532429E-2</v>
      </c>
      <c r="J268">
        <v>1.6874321350957677E-2</v>
      </c>
      <c r="K268">
        <v>2.49107505373658E-3</v>
      </c>
      <c r="Z268" s="1">
        <f t="shared" si="78"/>
        <v>44895</v>
      </c>
      <c r="AA268">
        <f t="shared" si="79"/>
        <v>567.27843893791555</v>
      </c>
      <c r="AB268">
        <f t="shared" si="80"/>
        <v>322.48314143525982</v>
      </c>
      <c r="AC268">
        <f t="shared" si="81"/>
        <v>640.34000000000083</v>
      </c>
      <c r="AD268">
        <f t="shared" si="82"/>
        <v>289.01563016800532</v>
      </c>
      <c r="AE268">
        <f t="shared" si="83"/>
        <v>469.87019999999978</v>
      </c>
      <c r="AF268">
        <f t="shared" si="84"/>
        <v>317.62999523747709</v>
      </c>
      <c r="AG268">
        <f t="shared" si="85"/>
        <v>273.05659977249445</v>
      </c>
      <c r="AH268">
        <f t="shared" si="86"/>
        <v>323.16294082623881</v>
      </c>
      <c r="AI268">
        <f t="shared" si="87"/>
        <v>218.98834616144663</v>
      </c>
    </row>
    <row r="269" spans="1:35" x14ac:dyDescent="0.2">
      <c r="A269">
        <f t="shared" si="88"/>
        <v>265</v>
      </c>
      <c r="B269" s="1">
        <v>44925</v>
      </c>
      <c r="C269">
        <v>-3.2929763165816084E-2</v>
      </c>
      <c r="D269" s="212">
        <v>-5.0795932198024474E-2</v>
      </c>
      <c r="E269">
        <v>-1.9990942311896909E-2</v>
      </c>
      <c r="F269">
        <v>-1.553463013553924E-2</v>
      </c>
      <c r="G269">
        <v>-2.7896853216058504E-2</v>
      </c>
      <c r="H269">
        <v>1.0086828510285084E-3</v>
      </c>
      <c r="I269">
        <v>-2.0595340688558728E-2</v>
      </c>
      <c r="J269">
        <v>-1.7409164233340824E-2</v>
      </c>
      <c r="K269">
        <v>2.4965839839015125E-3</v>
      </c>
      <c r="Z269" s="1">
        <f t="shared" si="78"/>
        <v>44925</v>
      </c>
      <c r="AA269">
        <f t="shared" si="79"/>
        <v>548.59809429461609</v>
      </c>
      <c r="AB269">
        <f t="shared" si="80"/>
        <v>306.10230964790844</v>
      </c>
      <c r="AC269">
        <f t="shared" si="81"/>
        <v>627.53900000000078</v>
      </c>
      <c r="AD269">
        <f t="shared" si="82"/>
        <v>284.52587924995555</v>
      </c>
      <c r="AE269">
        <f t="shared" si="83"/>
        <v>456.76229999999975</v>
      </c>
      <c r="AF269">
        <f t="shared" si="84"/>
        <v>317.95038316664539</v>
      </c>
      <c r="AG269">
        <f t="shared" si="85"/>
        <v>267.4329060729205</v>
      </c>
      <c r="AH269">
        <f t="shared" si="86"/>
        <v>317.53694411526544</v>
      </c>
      <c r="AI269">
        <f t="shared" si="87"/>
        <v>219.53506895913438</v>
      </c>
    </row>
    <row r="270" spans="1:35" x14ac:dyDescent="0.2">
      <c r="A270">
        <f t="shared" si="88"/>
        <v>266</v>
      </c>
      <c r="B270" s="1">
        <v>44957</v>
      </c>
      <c r="C270">
        <v>6.2874226598363281E-2</v>
      </c>
      <c r="D270" s="212">
        <v>6.5023215648271959E-2</v>
      </c>
      <c r="E270">
        <v>6.5433383423181724E-2</v>
      </c>
      <c r="F270">
        <v>4.998912048835602E-2</v>
      </c>
      <c r="G270">
        <v>7.1987114523244244E-3</v>
      </c>
      <c r="H270">
        <v>1.847842368288477E-2</v>
      </c>
      <c r="I270">
        <v>2.7552798081430074E-2</v>
      </c>
      <c r="J270">
        <v>1.6988699120721096E-2</v>
      </c>
      <c r="K270">
        <v>2.6583471133789782E-3</v>
      </c>
      <c r="Z270" s="1">
        <f t="shared" si="78"/>
        <v>44957</v>
      </c>
      <c r="AA270">
        <f t="shared" si="79"/>
        <v>583.09077518672609</v>
      </c>
      <c r="AB270">
        <f t="shared" si="80"/>
        <v>326.00606613857849</v>
      </c>
      <c r="AC270">
        <f t="shared" si="81"/>
        <v>668.60100000000091</v>
      </c>
      <c r="AD270">
        <f t="shared" si="82"/>
        <v>298.74907770983702</v>
      </c>
      <c r="AE270">
        <f t="shared" si="83"/>
        <v>460.0503999999998</v>
      </c>
      <c r="AF270">
        <f t="shared" si="84"/>
        <v>323.82560505693425</v>
      </c>
      <c r="AG270">
        <f t="shared" si="85"/>
        <v>274.80143093427773</v>
      </c>
      <c r="AH270">
        <f t="shared" si="86"/>
        <v>322.9314837185529</v>
      </c>
      <c r="AI270">
        <f t="shared" si="87"/>
        <v>220.11866937598734</v>
      </c>
    </row>
    <row r="271" spans="1:35" x14ac:dyDescent="0.2">
      <c r="A271">
        <f t="shared" si="88"/>
        <v>267</v>
      </c>
      <c r="B271" s="1">
        <v>44985</v>
      </c>
      <c r="C271">
        <v>-2.5489362153981454E-2</v>
      </c>
      <c r="D271" s="212">
        <v>-1.5685801619389372E-2</v>
      </c>
      <c r="E271">
        <v>-4.6546445488415356E-2</v>
      </c>
      <c r="F271">
        <v>-2.611677605433016E-4</v>
      </c>
      <c r="G271">
        <v>-4.5918664563708633E-2</v>
      </c>
      <c r="H271">
        <v>-9.4258897772550032E-3</v>
      </c>
      <c r="I271">
        <v>-1.3232801025167995E-2</v>
      </c>
      <c r="J271">
        <v>-1.4148600020156499E-2</v>
      </c>
      <c r="K271">
        <v>2.4019062565627802E-3</v>
      </c>
      <c r="Z271" s="1">
        <f t="shared" si="78"/>
        <v>44985</v>
      </c>
      <c r="AA271">
        <f t="shared" si="79"/>
        <v>568.22816324934581</v>
      </c>
      <c r="AB271">
        <f t="shared" si="80"/>
        <v>320.89239965841119</v>
      </c>
      <c r="AC271">
        <f t="shared" si="81"/>
        <v>637.48000000000093</v>
      </c>
      <c r="AD271">
        <f t="shared" si="82"/>
        <v>298.67105408224717</v>
      </c>
      <c r="AE271">
        <f t="shared" si="83"/>
        <v>438.92549999999983</v>
      </c>
      <c r="AF271">
        <f t="shared" si="84"/>
        <v>320.7732605966147</v>
      </c>
      <c r="AG271">
        <f t="shared" si="85"/>
        <v>271.16503827729298</v>
      </c>
      <c r="AH271">
        <f t="shared" si="86"/>
        <v>318.36245532150343</v>
      </c>
      <c r="AI271">
        <f t="shared" si="87"/>
        <v>220.64737378514781</v>
      </c>
    </row>
    <row r="272" spans="1:35" x14ac:dyDescent="0.2">
      <c r="A272">
        <f t="shared" si="88"/>
        <v>268</v>
      </c>
      <c r="B272" s="1">
        <v>45016</v>
      </c>
      <c r="C272">
        <v>-2.3609425051317467E-3</v>
      </c>
      <c r="D272" s="212">
        <v>2.4842654318523616E-2</v>
      </c>
      <c r="E272">
        <v>2.1608521051640794E-2</v>
      </c>
      <c r="F272">
        <v>-6.410787910452842E-2</v>
      </c>
      <c r="G272">
        <v>2.2656920137927861E-2</v>
      </c>
      <c r="H272">
        <v>-7.2210449594407589E-3</v>
      </c>
      <c r="I272">
        <v>3.1579933197831256E-2</v>
      </c>
      <c r="J272">
        <v>2.3651427829199267E-2</v>
      </c>
      <c r="K272">
        <v>2.839437214427587E-3</v>
      </c>
      <c r="Z272" s="1">
        <f t="shared" si="78"/>
        <v>45016</v>
      </c>
      <c r="AA272">
        <f t="shared" si="79"/>
        <v>566.88660922611746</v>
      </c>
      <c r="AB272">
        <f t="shared" si="80"/>
        <v>328.86421861656663</v>
      </c>
      <c r="AC272">
        <f t="shared" si="81"/>
        <v>651.2550000000009</v>
      </c>
      <c r="AD272">
        <f t="shared" si="82"/>
        <v>279.52388625512037</v>
      </c>
      <c r="AE272">
        <f t="shared" si="83"/>
        <v>448.8701999999999</v>
      </c>
      <c r="AF272">
        <f t="shared" si="84"/>
        <v>318.45694246006013</v>
      </c>
      <c r="AG272">
        <f t="shared" si="85"/>
        <v>279.72841207167727</v>
      </c>
      <c r="AH272">
        <f t="shared" si="86"/>
        <v>325.89218195706667</v>
      </c>
      <c r="AI272">
        <f t="shared" si="87"/>
        <v>221.27388814953906</v>
      </c>
    </row>
    <row r="273" spans="1:35" x14ac:dyDescent="0.2">
      <c r="A273">
        <f t="shared" si="88"/>
        <v>269</v>
      </c>
      <c r="B273" s="1">
        <v>45044</v>
      </c>
      <c r="C273">
        <v>1.8475004736738576E-2</v>
      </c>
      <c r="D273" s="212">
        <v>1.602927437865076E-2</v>
      </c>
      <c r="E273">
        <v>-6.9742266853998203E-3</v>
      </c>
      <c r="F273">
        <v>6.3374747796538289E-2</v>
      </c>
      <c r="G273">
        <v>1.7023406766588645E-2</v>
      </c>
      <c r="H273">
        <v>3.1133588927862998E-3</v>
      </c>
      <c r="I273">
        <v>1.9296515755169441E-3</v>
      </c>
      <c r="J273">
        <v>2.6258976957307389E-3</v>
      </c>
      <c r="K273">
        <v>3.0449690553149278E-3</v>
      </c>
      <c r="Z273" s="1">
        <f t="shared" si="78"/>
        <v>45044</v>
      </c>
      <c r="AA273">
        <f t="shared" si="79"/>
        <v>577.35984201676365</v>
      </c>
      <c r="AB273">
        <f t="shared" si="80"/>
        <v>334.13567341009218</v>
      </c>
      <c r="AC273">
        <f t="shared" si="81"/>
        <v>646.71300000000087</v>
      </c>
      <c r="AD273">
        <f t="shared" si="82"/>
        <v>297.2386420496469</v>
      </c>
      <c r="AE273">
        <f t="shared" si="83"/>
        <v>456.5114999999999</v>
      </c>
      <c r="AF273">
        <f t="shared" si="84"/>
        <v>319.44841321383768</v>
      </c>
      <c r="AG273">
        <f t="shared" si="85"/>
        <v>280.26819044274822</v>
      </c>
      <c r="AH273">
        <f t="shared" si="86"/>
        <v>326.74794148672441</v>
      </c>
      <c r="AI273">
        <f t="shared" si="87"/>
        <v>221.94766029170361</v>
      </c>
    </row>
    <row r="274" spans="1:35" x14ac:dyDescent="0.2">
      <c r="A274">
        <f t="shared" si="88"/>
        <v>270</v>
      </c>
      <c r="B274" s="1">
        <v>45077</v>
      </c>
      <c r="C274">
        <v>-2.5312284709329225E-2</v>
      </c>
      <c r="D274" s="212">
        <v>-2.1624089253053924E-3</v>
      </c>
      <c r="E274">
        <v>-9.9054758447718605E-3</v>
      </c>
      <c r="F274">
        <v>-3.4774867825258293E-2</v>
      </c>
      <c r="G274">
        <v>-5.1561899316884596E-2</v>
      </c>
      <c r="H274">
        <v>-1.7754767358335588E-3</v>
      </c>
      <c r="I274">
        <v>-1.2052400325633483E-2</v>
      </c>
      <c r="J274">
        <v>-4.396087288962236E-3</v>
      </c>
      <c r="K274">
        <v>2.9480773357508649E-3</v>
      </c>
      <c r="Z274" s="1">
        <f t="shared" si="78"/>
        <v>45077</v>
      </c>
      <c r="AA274">
        <f t="shared" si="79"/>
        <v>562.74554531590195</v>
      </c>
      <c r="AB274">
        <f t="shared" si="80"/>
        <v>333.41313544764728</v>
      </c>
      <c r="AC274">
        <f t="shared" si="81"/>
        <v>640.30700000000093</v>
      </c>
      <c r="AD274">
        <f t="shared" si="82"/>
        <v>286.90220755981119</v>
      </c>
      <c r="AE274">
        <f t="shared" si="83"/>
        <v>432.97289999999992</v>
      </c>
      <c r="AF274">
        <f t="shared" si="84"/>
        <v>318.88123998787756</v>
      </c>
      <c r="AG274">
        <f t="shared" si="85"/>
        <v>276.89028601299134</v>
      </c>
      <c r="AH274">
        <f t="shared" si="86"/>
        <v>325.31152901446006</v>
      </c>
      <c r="AI274">
        <f t="shared" si="87"/>
        <v>222.60197915873252</v>
      </c>
    </row>
    <row r="275" spans="1:35" x14ac:dyDescent="0.2">
      <c r="A275">
        <f t="shared" si="88"/>
        <v>271</v>
      </c>
      <c r="B275" s="1">
        <v>45107</v>
      </c>
      <c r="C275">
        <v>1.7316255965940996E-2</v>
      </c>
      <c r="D275" s="212">
        <v>5.6859087005584508E-2</v>
      </c>
      <c r="E275">
        <v>3.4463155954877811E-2</v>
      </c>
      <c r="F275">
        <v>-1.2633943747321075E-2</v>
      </c>
      <c r="G275">
        <v>2.8206846202152525E-2</v>
      </c>
      <c r="H275">
        <v>1.5709009938630336E-2</v>
      </c>
      <c r="I275">
        <v>-1.9541347526082276E-2</v>
      </c>
      <c r="J275">
        <v>-1.7104685500947125E-3</v>
      </c>
      <c r="K275">
        <v>3.0102202793516053E-3</v>
      </c>
      <c r="Z275" s="1">
        <f t="shared" si="78"/>
        <v>45107</v>
      </c>
      <c r="AA275">
        <f t="shared" si="79"/>
        <v>572.49019122228515</v>
      </c>
      <c r="AB275">
        <f t="shared" si="80"/>
        <v>352.37070192486976</v>
      </c>
      <c r="AC275">
        <f t="shared" si="81"/>
        <v>662.37400000000093</v>
      </c>
      <c r="AD275">
        <f t="shared" si="82"/>
        <v>283.27750120851829</v>
      </c>
      <c r="AE275">
        <f t="shared" si="83"/>
        <v>445.18569999999988</v>
      </c>
      <c r="AF275">
        <f t="shared" si="84"/>
        <v>323.89054855608993</v>
      </c>
      <c r="AG275">
        <f t="shared" si="85"/>
        <v>271.47947670741513</v>
      </c>
      <c r="AH275">
        <f t="shared" si="86"/>
        <v>324.7550938750976</v>
      </c>
      <c r="AI275">
        <f t="shared" si="87"/>
        <v>223.27206015061995</v>
      </c>
    </row>
    <row r="276" spans="1:35" x14ac:dyDescent="0.2">
      <c r="A276">
        <f t="shared" si="88"/>
        <v>272</v>
      </c>
      <c r="B276" s="1">
        <v>45138</v>
      </c>
      <c r="C276">
        <v>2.8944736226748091E-2</v>
      </c>
      <c r="D276" s="212">
        <v>2.9151381660555309E-2</v>
      </c>
      <c r="E276">
        <v>5.3041031199896116E-2</v>
      </c>
      <c r="F276">
        <v>4.4257696372383748E-2</v>
      </c>
      <c r="G276">
        <v>1.6340596744235159E-2</v>
      </c>
      <c r="H276">
        <v>1.3006456442406611E-2</v>
      </c>
      <c r="I276">
        <v>5.1907678852931571E-3</v>
      </c>
      <c r="J276">
        <v>-3.2142816087973314E-3</v>
      </c>
      <c r="K276">
        <v>3.7329703504040967E-3</v>
      </c>
      <c r="Z276" s="1">
        <f t="shared" si="78"/>
        <v>45138</v>
      </c>
      <c r="AA276">
        <f t="shared" si="79"/>
        <v>589.06076879961472</v>
      </c>
      <c r="AB276">
        <f t="shared" si="80"/>
        <v>362.64279474267943</v>
      </c>
      <c r="AC276">
        <f t="shared" si="81"/>
        <v>697.50700000000097</v>
      </c>
      <c r="AD276">
        <f t="shared" si="82"/>
        <v>295.81471084613247</v>
      </c>
      <c r="AE276">
        <f t="shared" si="83"/>
        <v>452.4602999999999</v>
      </c>
      <c r="AF276">
        <f t="shared" si="84"/>
        <v>328.10321686799188</v>
      </c>
      <c r="AG276">
        <f t="shared" si="85"/>
        <v>272.88866365662415</v>
      </c>
      <c r="AH276">
        <f t="shared" si="86"/>
        <v>323.71123954949161</v>
      </c>
      <c r="AI276">
        <f t="shared" si="87"/>
        <v>224.10552813123584</v>
      </c>
    </row>
    <row r="277" spans="1:35" x14ac:dyDescent="0.2">
      <c r="A277">
        <f t="shared" si="88"/>
        <v>273</v>
      </c>
      <c r="B277" s="1">
        <v>45169</v>
      </c>
      <c r="C277">
        <v>-7.637697571251767E-3</v>
      </c>
      <c r="D277" s="212">
        <v>-1.7553950525322048E-2</v>
      </c>
      <c r="E277">
        <v>-4.6799530327294114E-2</v>
      </c>
      <c r="F277">
        <v>-1.9377644751780387E-2</v>
      </c>
      <c r="G277">
        <v>-4.8292413721159555E-2</v>
      </c>
      <c r="H277">
        <v>1.68905544852338E-3</v>
      </c>
      <c r="I277">
        <v>7.3956814935416393E-3</v>
      </c>
      <c r="J277">
        <v>-1.9090617150920863E-3</v>
      </c>
      <c r="K277">
        <v>3.6535232226799774E-3</v>
      </c>
      <c r="Z277" s="1">
        <f t="shared" si="78"/>
        <v>45169</v>
      </c>
      <c r="AA277">
        <f t="shared" si="79"/>
        <v>584.56170079643425</v>
      </c>
      <c r="AB277">
        <f t="shared" si="80"/>
        <v>356.27698106540191</v>
      </c>
      <c r="AC277">
        <f t="shared" si="81"/>
        <v>664.86400000000094</v>
      </c>
      <c r="AD277">
        <f t="shared" si="82"/>
        <v>290.08251846700546</v>
      </c>
      <c r="AE277">
        <f t="shared" si="83"/>
        <v>430.60989999999993</v>
      </c>
      <c r="AF277">
        <f t="shared" si="84"/>
        <v>328.65740139412082</v>
      </c>
      <c r="AG277">
        <f t="shared" si="85"/>
        <v>274.90686129622674</v>
      </c>
      <c r="AH277">
        <f t="shared" si="86"/>
        <v>323.09325481532267</v>
      </c>
      <c r="AI277">
        <f t="shared" si="87"/>
        <v>224.92430288259428</v>
      </c>
    </row>
    <row r="278" spans="1:35" x14ac:dyDescent="0.2">
      <c r="A278">
        <f t="shared" si="88"/>
        <v>274</v>
      </c>
      <c r="B278" s="1">
        <v>45198</v>
      </c>
      <c r="C278">
        <v>-2.8886304230806847E-2</v>
      </c>
      <c r="D278" s="212">
        <v>-3.6948950626824684E-2</v>
      </c>
      <c r="E278">
        <v>-1.7949535544111384E-2</v>
      </c>
      <c r="F278">
        <v>-8.3945094943647658E-2</v>
      </c>
      <c r="G278">
        <v>-4.8645653525383414E-2</v>
      </c>
      <c r="H278">
        <v>3.3197207219075597E-3</v>
      </c>
      <c r="I278">
        <v>-1.5254673799310781E-2</v>
      </c>
      <c r="J278">
        <v>-1.6854451887382216E-2</v>
      </c>
      <c r="K278">
        <v>3.3738691719391589E-3</v>
      </c>
      <c r="Z278" s="1">
        <f t="shared" ref="Z278:Z301" si="89">B278</f>
        <v>45198</v>
      </c>
      <c r="AA278">
        <f t="shared" ref="AA278:AA301" si="90">IF($Z278&lt;$B$1,100,AA277*(1+C278))</f>
        <v>567.67587366555051</v>
      </c>
      <c r="AB278">
        <f t="shared" ref="AB278:AB301" si="91">IF($Z278&lt;$B$1,100,AB277*(1+D278))</f>
        <v>343.11292048254222</v>
      </c>
      <c r="AC278">
        <f t="shared" ref="AC278:AC301" si="92">IF($Z278&lt;$B$1,100,AC277*(1+E278))</f>
        <v>652.93000000000086</v>
      </c>
      <c r="AD278">
        <f t="shared" ref="AD278:AD301" si="93">IF($Z278&lt;$B$1,100,AD277*(1+F278))</f>
        <v>265.73151391280027</v>
      </c>
      <c r="AE278">
        <f t="shared" ref="AE278:AE301" si="94">IF($Z278&lt;$B$1,100,AE277*(1+G278))</f>
        <v>409.66259999999994</v>
      </c>
      <c r="AF278">
        <f t="shared" ref="AF278:AF301" si="95">IF($Z278&lt;$B$1,100,AF277*(1+H278))</f>
        <v>329.7484521799372</v>
      </c>
      <c r="AG278">
        <f t="shared" ref="AG278:AG301" si="96">IF($Z278&lt;$B$1,100,AG277*(1+I278))</f>
        <v>270.71324680196045</v>
      </c>
      <c r="AH278">
        <f t="shared" ref="AH278:AH301" si="97">IF($Z278&lt;$B$1,100,AH277*(1+J278))</f>
        <v>317.64769509690007</v>
      </c>
      <c r="AI278">
        <f t="shared" ref="AI278:AI301" si="98">IF($Z278&lt;$B$1,100,AI277*(1+K278))</f>
        <v>225.68316805410976</v>
      </c>
    </row>
    <row r="279" spans="1:35" x14ac:dyDescent="0.2">
      <c r="A279">
        <f t="shared" si="88"/>
        <v>275</v>
      </c>
      <c r="B279" s="1">
        <v>45230</v>
      </c>
      <c r="C279">
        <v>-3.8011485086585917E-2</v>
      </c>
      <c r="D279" s="212">
        <v>-2.6264103184308385E-2</v>
      </c>
      <c r="E279">
        <v>-3.5939534100133064E-2</v>
      </c>
      <c r="F279">
        <v>-6.6494963808356733E-2</v>
      </c>
      <c r="G279">
        <v>2.5489268485823224E-3</v>
      </c>
      <c r="H279">
        <v>-1.2998608229826125E-3</v>
      </c>
      <c r="I279">
        <v>-1.8491643215898357E-2</v>
      </c>
      <c r="J279">
        <v>-6.809563946226227E-3</v>
      </c>
      <c r="K279">
        <v>3.3474329293010641E-3</v>
      </c>
      <c r="Z279" s="1">
        <f t="shared" si="89"/>
        <v>45230</v>
      </c>
      <c r="AA279">
        <f t="shared" si="90"/>
        <v>546.09767065969777</v>
      </c>
      <c r="AB279">
        <f t="shared" si="91"/>
        <v>334.10136733511933</v>
      </c>
      <c r="AC279">
        <f t="shared" si="92"/>
        <v>629.46400000000096</v>
      </c>
      <c r="AD279">
        <f t="shared" si="93"/>
        <v>248.06170651242877</v>
      </c>
      <c r="AE279">
        <f t="shared" si="94"/>
        <v>410.70679999999999</v>
      </c>
      <c r="AF279">
        <f t="shared" si="95"/>
        <v>329.31982508550936</v>
      </c>
      <c r="AG279">
        <f t="shared" si="96"/>
        <v>265.70731402828119</v>
      </c>
      <c r="AH279">
        <f t="shared" si="97"/>
        <v>315.48465280476637</v>
      </c>
      <c r="AI279">
        <f t="shared" si="98"/>
        <v>226.43862732244307</v>
      </c>
    </row>
    <row r="280" spans="1:35" x14ac:dyDescent="0.2">
      <c r="A280">
        <f t="shared" si="88"/>
        <v>276</v>
      </c>
      <c r="B280" s="1">
        <v>45260</v>
      </c>
      <c r="C280">
        <v>5.0637576463525846E-2</v>
      </c>
      <c r="D280" s="212">
        <v>8.2968818422290092E-2</v>
      </c>
      <c r="E280">
        <v>6.1800198263919803E-2</v>
      </c>
      <c r="F280">
        <v>0.10720109949845646</v>
      </c>
      <c r="G280">
        <v>6.439216492154487E-2</v>
      </c>
      <c r="H280">
        <v>1.4645754177458059E-2</v>
      </c>
      <c r="I280">
        <v>2.9739398516242854E-2</v>
      </c>
      <c r="J280">
        <v>2.802061032385228E-2</v>
      </c>
      <c r="K280">
        <v>3.4994054628534332E-3</v>
      </c>
      <c r="Z280" s="1">
        <f t="shared" si="89"/>
        <v>45260</v>
      </c>
      <c r="AA280">
        <f t="shared" si="90"/>
        <v>573.75073321428158</v>
      </c>
      <c r="AB280">
        <f t="shared" si="91"/>
        <v>361.82136301618567</v>
      </c>
      <c r="AC280">
        <f t="shared" si="92"/>
        <v>668.36500000000103</v>
      </c>
      <c r="AD280">
        <f t="shared" si="93"/>
        <v>274.65419419402457</v>
      </c>
      <c r="AE280">
        <f t="shared" si="94"/>
        <v>437.15309999999994</v>
      </c>
      <c r="AF280">
        <f t="shared" si="95"/>
        <v>334.14296228947524</v>
      </c>
      <c r="AG280">
        <f t="shared" si="96"/>
        <v>273.60928972884875</v>
      </c>
      <c r="AH280">
        <f t="shared" si="97"/>
        <v>324.32472532416455</v>
      </c>
      <c r="AI280">
        <f t="shared" si="98"/>
        <v>227.23102789189625</v>
      </c>
    </row>
    <row r="281" spans="1:35" x14ac:dyDescent="0.2">
      <c r="A281">
        <f t="shared" si="88"/>
        <v>277</v>
      </c>
      <c r="B281" s="1">
        <v>45289</v>
      </c>
      <c r="C281">
        <v>7.2166566874395821E-2</v>
      </c>
      <c r="D281" s="212">
        <v>4.1614675563989456E-2</v>
      </c>
      <c r="E281">
        <v>3.1425942411706265E-2</v>
      </c>
      <c r="F281">
        <v>0.10326907578438349</v>
      </c>
      <c r="G281">
        <v>2.7660904154631405E-2</v>
      </c>
      <c r="H281">
        <v>7.0357749070319997E-3</v>
      </c>
      <c r="I281">
        <v>2.6870825506986273E-2</v>
      </c>
      <c r="J281">
        <v>2.765323514871576E-2</v>
      </c>
      <c r="K281">
        <v>3.691046014470345E-3</v>
      </c>
      <c r="Z281" s="1">
        <f t="shared" si="89"/>
        <v>45289</v>
      </c>
      <c r="AA281">
        <f t="shared" si="90"/>
        <v>615.15635387202371</v>
      </c>
      <c r="AB281">
        <f t="shared" si="91"/>
        <v>376.87844165022472</v>
      </c>
      <c r="AC281">
        <f t="shared" si="92"/>
        <v>689.36900000000117</v>
      </c>
      <c r="AD281">
        <f t="shared" si="93"/>
        <v>303.01747898874606</v>
      </c>
      <c r="AE281">
        <f t="shared" si="94"/>
        <v>449.24514999999991</v>
      </c>
      <c r="AF281">
        <f t="shared" si="95"/>
        <v>336.49391695891285</v>
      </c>
      <c r="AG281">
        <f t="shared" si="96"/>
        <v>280.96139721024309</v>
      </c>
      <c r="AH281">
        <f t="shared" si="97"/>
        <v>333.29335321809634</v>
      </c>
      <c r="AI281">
        <f t="shared" si="98"/>
        <v>228.06974807176064</v>
      </c>
    </row>
    <row r="282" spans="1:35" x14ac:dyDescent="0.2">
      <c r="A282">
        <f t="shared" si="88"/>
        <v>278</v>
      </c>
      <c r="B282" s="1">
        <v>45322</v>
      </c>
      <c r="C282">
        <v>1.1003444370398574E-2</v>
      </c>
      <c r="D282" s="212">
        <v>1.7869790907702132E-2</v>
      </c>
      <c r="E282">
        <v>-3.4860865516145978E-2</v>
      </c>
      <c r="F282">
        <v>1.3347439245221748E-2</v>
      </c>
      <c r="G282">
        <v>-2.1321877375860443E-2</v>
      </c>
      <c r="H282">
        <v>1.4127637673700288E-2</v>
      </c>
      <c r="I282">
        <v>2.0638164006854254E-3</v>
      </c>
      <c r="J282">
        <v>-3.829552461623309E-3</v>
      </c>
      <c r="K282">
        <v>3.696219114529109E-3</v>
      </c>
      <c r="Z282" s="1">
        <f t="shared" si="89"/>
        <v>45322</v>
      </c>
      <c r="AA282">
        <f t="shared" si="90"/>
        <v>621.92519259095172</v>
      </c>
      <c r="AB282">
        <f t="shared" si="91"/>
        <v>383.61318060013485</v>
      </c>
      <c r="AC282">
        <f t="shared" si="92"/>
        <v>665.33700000000113</v>
      </c>
      <c r="AD282">
        <f t="shared" si="93"/>
        <v>307.06198637978861</v>
      </c>
      <c r="AE282">
        <f t="shared" si="94"/>
        <v>439.6663999999999</v>
      </c>
      <c r="AF282">
        <f t="shared" si="95"/>
        <v>341.24778109711258</v>
      </c>
      <c r="AG282">
        <f t="shared" si="96"/>
        <v>281.54124994976507</v>
      </c>
      <c r="AH282">
        <f t="shared" si="97"/>
        <v>332.0169888368373</v>
      </c>
      <c r="AI282">
        <f t="shared" si="98"/>
        <v>228.91274383402933</v>
      </c>
    </row>
    <row r="283" spans="1:35" x14ac:dyDescent="0.2">
      <c r="A283">
        <f t="shared" si="88"/>
        <v>279</v>
      </c>
      <c r="B283" s="1">
        <v>45351</v>
      </c>
      <c r="C283">
        <v>9.8374138205850059E-3</v>
      </c>
      <c r="D283" s="212">
        <v>4.6086804553372662E-2</v>
      </c>
      <c r="E283">
        <v>5.0960640998471529E-2</v>
      </c>
      <c r="F283">
        <v>-1.4527738036711479E-2</v>
      </c>
      <c r="G283">
        <v>9.3648275146793747E-3</v>
      </c>
      <c r="H283">
        <v>2.0604430460047229E-2</v>
      </c>
      <c r="I283">
        <v>-3.0045121337624048E-3</v>
      </c>
      <c r="J283">
        <v>-6.0849897723389557E-3</v>
      </c>
      <c r="K283">
        <v>3.4466397714789654E-3</v>
      </c>
      <c r="Z283" s="1">
        <f t="shared" si="89"/>
        <v>45351</v>
      </c>
      <c r="AA283">
        <f t="shared" si="90"/>
        <v>628.04332807591595</v>
      </c>
      <c r="AB283">
        <f t="shared" si="91"/>
        <v>401.29268627855095</v>
      </c>
      <c r="AC283">
        <f t="shared" si="92"/>
        <v>699.24300000000119</v>
      </c>
      <c r="AD283">
        <f t="shared" si="93"/>
        <v>302.60107028063078</v>
      </c>
      <c r="AE283">
        <f t="shared" si="94"/>
        <v>443.78379999999993</v>
      </c>
      <c r="AF283">
        <f t="shared" si="95"/>
        <v>348.27899727237343</v>
      </c>
      <c r="AG283">
        <f t="shared" si="96"/>
        <v>280.69535584813639</v>
      </c>
      <c r="AH283">
        <f t="shared" si="97"/>
        <v>329.99666885552239</v>
      </c>
      <c r="AI283">
        <f t="shared" si="98"/>
        <v>229.70172360112608</v>
      </c>
    </row>
    <row r="284" spans="1:35" x14ac:dyDescent="0.2">
      <c r="A284">
        <f t="shared" si="88"/>
        <v>280</v>
      </c>
      <c r="B284" s="1">
        <v>45380</v>
      </c>
      <c r="C284">
        <v>3.263019492918473E-2</v>
      </c>
      <c r="D284" s="212">
        <v>3.3915860565750799E-2</v>
      </c>
      <c r="E284">
        <v>3.017978013365874E-2</v>
      </c>
      <c r="F284">
        <v>0.10376787385862341</v>
      </c>
      <c r="G284">
        <v>3.4779773394161939E-2</v>
      </c>
      <c r="H284">
        <v>1.7391412446234655E-2</v>
      </c>
      <c r="I284">
        <v>1.121735573812388E-2</v>
      </c>
      <c r="J284">
        <v>6.5654724143702214E-3</v>
      </c>
      <c r="K284">
        <v>3.6708591268919122E-3</v>
      </c>
      <c r="Z284" s="1">
        <f t="shared" si="89"/>
        <v>45380</v>
      </c>
      <c r="AA284">
        <f t="shared" si="90"/>
        <v>648.53650429500703</v>
      </c>
      <c r="AB284">
        <f t="shared" si="91"/>
        <v>414.90287307242988</v>
      </c>
      <c r="AC284">
        <f t="shared" si="92"/>
        <v>720.34600000000114</v>
      </c>
      <c r="AD284">
        <f t="shared" si="93"/>
        <v>334.00133997099573</v>
      </c>
      <c r="AE284">
        <f t="shared" si="94"/>
        <v>459.21850000000001</v>
      </c>
      <c r="AF284">
        <f t="shared" si="95"/>
        <v>354.33606096029831</v>
      </c>
      <c r="AG284">
        <f t="shared" si="96"/>
        <v>283.84401550872423</v>
      </c>
      <c r="AH284">
        <f t="shared" si="97"/>
        <v>332.16325288172737</v>
      </c>
      <c r="AI284">
        <f t="shared" si="98"/>
        <v>230.54492626967007</v>
      </c>
    </row>
    <row r="285" spans="1:35" x14ac:dyDescent="0.2">
      <c r="A285">
        <f t="shared" si="88"/>
        <v>281</v>
      </c>
      <c r="B285" s="1">
        <v>45412</v>
      </c>
      <c r="C285">
        <v>-2.9235570567258451E-2</v>
      </c>
      <c r="D285" s="212">
        <v>-3.2378647644399905E-2</v>
      </c>
      <c r="E285">
        <v>1.4016875223850755E-2</v>
      </c>
      <c r="F285">
        <v>-7.7063512014036495E-2</v>
      </c>
      <c r="G285">
        <v>-2.0246353315469756E-2</v>
      </c>
      <c r="H285">
        <v>1.5517894453880299E-3</v>
      </c>
      <c r="I285">
        <v>-1.9844452062649065E-2</v>
      </c>
      <c r="J285">
        <v>-1.5617583888246411E-2</v>
      </c>
      <c r="K285">
        <v>3.5233625973638549E-3</v>
      </c>
      <c r="Z285" s="1">
        <f t="shared" si="89"/>
        <v>45412</v>
      </c>
      <c r="AA285">
        <f t="shared" si="90"/>
        <v>629.57616955824722</v>
      </c>
      <c r="AB285">
        <f t="shared" si="91"/>
        <v>401.46887913856852</v>
      </c>
      <c r="AC285">
        <f t="shared" si="92"/>
        <v>730.44300000000112</v>
      </c>
      <c r="AD285">
        <f t="shared" si="93"/>
        <v>308.2620236954366</v>
      </c>
      <c r="AE285">
        <f t="shared" si="94"/>
        <v>449.92099999999994</v>
      </c>
      <c r="AF285">
        <f t="shared" si="95"/>
        <v>354.88591591981685</v>
      </c>
      <c r="AG285">
        <f t="shared" si="96"/>
        <v>278.21128654969152</v>
      </c>
      <c r="AH285">
        <f t="shared" si="97"/>
        <v>326.97566541525418</v>
      </c>
      <c r="AI285">
        <f t="shared" si="98"/>
        <v>231.35721963990065</v>
      </c>
    </row>
    <row r="286" spans="1:35" x14ac:dyDescent="0.2">
      <c r="A286">
        <f t="shared" si="88"/>
        <v>282</v>
      </c>
      <c r="B286" s="1">
        <v>45443</v>
      </c>
      <c r="C286">
        <v>8.508216337767216E-3</v>
      </c>
      <c r="D286" s="212">
        <v>4.0665816716664027E-2</v>
      </c>
      <c r="E286">
        <v>4.7669701811092757E-3</v>
      </c>
      <c r="F286">
        <v>1.9833223744845085E-2</v>
      </c>
      <c r="G286">
        <v>4.6172105769679561E-2</v>
      </c>
      <c r="H286">
        <v>7.0149326566464332E-3</v>
      </c>
      <c r="I286">
        <v>3.9316752960947277E-3</v>
      </c>
      <c r="J286">
        <v>3.8921281817305697E-3</v>
      </c>
      <c r="K286">
        <v>3.7470549543896503E-3</v>
      </c>
      <c r="Z286" s="1">
        <f t="shared" si="89"/>
        <v>45443</v>
      </c>
      <c r="AA286">
        <f t="shared" si="90"/>
        <v>634.93273980995161</v>
      </c>
      <c r="AB286">
        <f t="shared" si="91"/>
        <v>417.79493899506207</v>
      </c>
      <c r="AC286">
        <f t="shared" si="92"/>
        <v>733.92500000000109</v>
      </c>
      <c r="AD286">
        <f t="shared" si="93"/>
        <v>314.37585338342694</v>
      </c>
      <c r="AE286">
        <f t="shared" si="94"/>
        <v>470.69479999999993</v>
      </c>
      <c r="AF286">
        <f t="shared" si="95"/>
        <v>357.37541672078663</v>
      </c>
      <c r="AG286">
        <f t="shared" si="96"/>
        <v>279.3051229921137</v>
      </c>
      <c r="AH286">
        <f t="shared" si="97"/>
        <v>328.24829661735703</v>
      </c>
      <c r="AI286">
        <f t="shared" si="98"/>
        <v>232.22412785598615</v>
      </c>
    </row>
    <row r="287" spans="1:35" x14ac:dyDescent="0.2">
      <c r="A287">
        <f t="shared" si="88"/>
        <v>283</v>
      </c>
      <c r="B287" s="1">
        <v>45471</v>
      </c>
      <c r="C287">
        <v>9.1614404271307404E-3</v>
      </c>
      <c r="D287" s="212">
        <v>2.3212505399261119E-2</v>
      </c>
      <c r="E287">
        <v>4.259154545764221E-2</v>
      </c>
      <c r="F287">
        <v>6.4096684561223416E-3</v>
      </c>
      <c r="G287">
        <v>-2.7172384313572273E-2</v>
      </c>
      <c r="H287">
        <v>6.1785978217414605E-3</v>
      </c>
      <c r="I287">
        <v>7.7289772919770794E-3</v>
      </c>
      <c r="J287">
        <v>7.7814884327491729E-3</v>
      </c>
      <c r="K287">
        <v>3.5019066258707987E-3</v>
      </c>
      <c r="Z287" s="1">
        <f t="shared" si="89"/>
        <v>45471</v>
      </c>
      <c r="AA287">
        <f t="shared" si="90"/>
        <v>640.74963828095542</v>
      </c>
      <c r="AB287">
        <f t="shared" si="91"/>
        <v>427.49300627226893</v>
      </c>
      <c r="AC287">
        <f t="shared" si="92"/>
        <v>765.18400000000122</v>
      </c>
      <c r="AD287">
        <f t="shared" si="93"/>
        <v>316.39089837422523</v>
      </c>
      <c r="AE287">
        <f t="shared" si="94"/>
        <v>457.90489999999988</v>
      </c>
      <c r="AF287">
        <f t="shared" si="95"/>
        <v>359.58349569208161</v>
      </c>
      <c r="AG287">
        <f t="shared" si="96"/>
        <v>281.46386594525262</v>
      </c>
      <c r="AH287">
        <f t="shared" si="97"/>
        <v>330.80255694055461</v>
      </c>
      <c r="AI287">
        <f t="shared" si="98"/>
        <v>233.03735506801209</v>
      </c>
    </row>
    <row r="288" spans="1:35" x14ac:dyDescent="0.2">
      <c r="A288">
        <f t="shared" si="88"/>
        <v>284</v>
      </c>
      <c r="B288" s="1">
        <v>45504</v>
      </c>
      <c r="C288">
        <v>4.1323416955557413E-2</v>
      </c>
      <c r="D288" s="212">
        <v>1.2462772697418023E-2</v>
      </c>
      <c r="E288">
        <v>6.0429909668786586E-3</v>
      </c>
      <c r="F288">
        <v>6.087930821892118E-2</v>
      </c>
      <c r="G288">
        <v>7.5220859178401378E-2</v>
      </c>
      <c r="H288">
        <v>4.7439586769895126E-3</v>
      </c>
      <c r="I288">
        <v>1.4788009634337795E-2</v>
      </c>
      <c r="J288">
        <v>1.7500190980622055E-2</v>
      </c>
      <c r="K288">
        <v>3.7371010007598571E-3</v>
      </c>
      <c r="Z288" s="1">
        <f t="shared" si="89"/>
        <v>45504</v>
      </c>
      <c r="AA288">
        <f t="shared" si="90"/>
        <v>667.22760274776192</v>
      </c>
      <c r="AB288">
        <f t="shared" si="91"/>
        <v>432.82075443917614</v>
      </c>
      <c r="AC288">
        <f t="shared" si="92"/>
        <v>769.80800000000136</v>
      </c>
      <c r="AD288">
        <f t="shared" si="93"/>
        <v>335.65255739401107</v>
      </c>
      <c r="AE288">
        <f t="shared" si="94"/>
        <v>492.34889999999984</v>
      </c>
      <c r="AF288">
        <f t="shared" si="95"/>
        <v>361.28934493657226</v>
      </c>
      <c r="AG288">
        <f t="shared" si="96"/>
        <v>285.62615630656899</v>
      </c>
      <c r="AH288">
        <f t="shared" si="97"/>
        <v>336.59166486389239</v>
      </c>
      <c r="AI288">
        <f t="shared" si="98"/>
        <v>233.9082392008512</v>
      </c>
    </row>
    <row r="289" spans="1:35" x14ac:dyDescent="0.2">
      <c r="A289">
        <f t="shared" si="88"/>
        <v>285</v>
      </c>
      <c r="B289" s="1">
        <v>45534</v>
      </c>
      <c r="C289">
        <v>4.447357470642288E-3</v>
      </c>
      <c r="D289" s="212">
        <v>1.8661406144260928E-2</v>
      </c>
      <c r="E289">
        <v>4.0269781555921647E-3</v>
      </c>
      <c r="F289">
        <v>-3.5929233054895482E-3</v>
      </c>
      <c r="G289">
        <v>3.1975901642107951E-2</v>
      </c>
      <c r="H289">
        <v>-2.3248289333349659E-3</v>
      </c>
      <c r="I289">
        <v>1.207748269456288E-2</v>
      </c>
      <c r="J289">
        <v>9.2929381405477685E-3</v>
      </c>
      <c r="K289">
        <v>3.7786987164605268E-3</v>
      </c>
      <c r="Z289" s="1">
        <f t="shared" si="89"/>
        <v>45534</v>
      </c>
      <c r="AA289">
        <f t="shared" si="90"/>
        <v>670.19500241146091</v>
      </c>
      <c r="AB289">
        <f t="shared" si="91"/>
        <v>440.89779832543104</v>
      </c>
      <c r="AC289">
        <f t="shared" si="92"/>
        <v>772.90800000000149</v>
      </c>
      <c r="AD289">
        <f t="shared" si="93"/>
        <v>334.44658349800295</v>
      </c>
      <c r="AE289">
        <f t="shared" si="94"/>
        <v>508.09219999999988</v>
      </c>
      <c r="AF289">
        <f t="shared" si="95"/>
        <v>360.44940901415811</v>
      </c>
      <c r="AG289">
        <f t="shared" si="96"/>
        <v>289.07580126647611</v>
      </c>
      <c r="AH289">
        <f t="shared" si="97"/>
        <v>339.71959038409653</v>
      </c>
      <c r="AI289">
        <f t="shared" si="98"/>
        <v>234.79210796408898</v>
      </c>
    </row>
    <row r="290" spans="1:35" x14ac:dyDescent="0.2">
      <c r="A290">
        <f t="shared" si="88"/>
        <v>286</v>
      </c>
      <c r="B290" s="1">
        <v>45565</v>
      </c>
      <c r="C290">
        <v>3.0733039841214671E-2</v>
      </c>
      <c r="D290" s="212">
        <v>1.5040069710264614E-2</v>
      </c>
      <c r="E290">
        <v>5.5571943879478614E-2</v>
      </c>
      <c r="F290">
        <v>6.9026463398553783E-2</v>
      </c>
      <c r="G290">
        <v>2.0203222958353084E-2</v>
      </c>
      <c r="H290">
        <v>1.7717079264410796E-2</v>
      </c>
      <c r="I290">
        <v>3.0782403508209377E-3</v>
      </c>
      <c r="J290">
        <v>9.7934546688180912E-3</v>
      </c>
      <c r="K290">
        <v>3.5878365646271337E-3</v>
      </c>
      <c r="Z290" s="1">
        <f t="shared" si="89"/>
        <v>45565</v>
      </c>
      <c r="AA290">
        <f t="shared" si="90"/>
        <v>690.79213212195532</v>
      </c>
      <c r="AB290">
        <f t="shared" si="91"/>
        <v>447.5289319473477</v>
      </c>
      <c r="AC290">
        <f t="shared" si="92"/>
        <v>815.86000000000161</v>
      </c>
      <c r="AD290">
        <f t="shared" si="93"/>
        <v>357.5322483525992</v>
      </c>
      <c r="AE290">
        <f t="shared" si="94"/>
        <v>518.35730000000001</v>
      </c>
      <c r="AF290">
        <f t="shared" si="95"/>
        <v>366.835519764472</v>
      </c>
      <c r="AG290">
        <f t="shared" si="96"/>
        <v>289.96564606238047</v>
      </c>
      <c r="AH290">
        <f t="shared" si="97"/>
        <v>343.04661879263261</v>
      </c>
      <c r="AI290">
        <f t="shared" si="98"/>
        <v>235.63450367412841</v>
      </c>
    </row>
    <row r="291" spans="1:35" x14ac:dyDescent="0.2">
      <c r="A291">
        <f t="shared" si="88"/>
        <v>287</v>
      </c>
      <c r="B291" s="1">
        <v>45596</v>
      </c>
      <c r="C291">
        <v>-1.2954873526997646E-2</v>
      </c>
      <c r="D291" s="212">
        <v>-9.1835560818069872E-3</v>
      </c>
      <c r="E291">
        <v>-2.8737773637633968E-2</v>
      </c>
      <c r="F291">
        <v>-2.6232455755413664E-2</v>
      </c>
      <c r="G291">
        <v>-9.328507575759093E-3</v>
      </c>
      <c r="H291">
        <v>-9.276744405627424E-3</v>
      </c>
      <c r="I291">
        <v>-1.8815382658542767E-2</v>
      </c>
      <c r="J291">
        <v>-1.3610844476192541E-2</v>
      </c>
      <c r="K291">
        <v>3.7436505944032916E-3</v>
      </c>
      <c r="Z291" s="1">
        <f t="shared" si="89"/>
        <v>45596</v>
      </c>
      <c r="AA291">
        <f t="shared" si="90"/>
        <v>681.84300741687036</v>
      </c>
      <c r="AB291">
        <f t="shared" si="91"/>
        <v>443.41902490257803</v>
      </c>
      <c r="AC291">
        <f t="shared" si="92"/>
        <v>792.41400000000147</v>
      </c>
      <c r="AD291">
        <f t="shared" si="93"/>
        <v>348.15329946655606</v>
      </c>
      <c r="AE291">
        <f t="shared" si="94"/>
        <v>513.52179999999998</v>
      </c>
      <c r="AF291">
        <f t="shared" si="95"/>
        <v>363.43248040871151</v>
      </c>
      <c r="AG291">
        <f t="shared" si="96"/>
        <v>284.50983147388519</v>
      </c>
      <c r="AH291">
        <f t="shared" si="97"/>
        <v>338.3774646161624</v>
      </c>
      <c r="AI291">
        <f t="shared" si="98"/>
        <v>236.51663692386998</v>
      </c>
    </row>
    <row r="292" spans="1:35" x14ac:dyDescent="0.2">
      <c r="A292">
        <f t="shared" si="88"/>
        <v>288</v>
      </c>
      <c r="B292" s="1">
        <v>45625</v>
      </c>
      <c r="C292">
        <v>3.6826393953615977E-2</v>
      </c>
      <c r="D292" s="212">
        <v>4.8806176977124194E-2</v>
      </c>
      <c r="E292">
        <v>-2.740739058118602E-2</v>
      </c>
      <c r="F292">
        <v>2.2189039213871276E-2</v>
      </c>
      <c r="G292">
        <v>4.3463588108625606E-2</v>
      </c>
      <c r="H292">
        <v>1.7261918944032839E-2</v>
      </c>
      <c r="I292">
        <v>1.1353178864035085E-2</v>
      </c>
      <c r="J292">
        <v>1.0937820899795225E-2</v>
      </c>
      <c r="K292">
        <v>3.6074304448949768E-3</v>
      </c>
      <c r="Z292" s="1">
        <f t="shared" si="89"/>
        <v>45625</v>
      </c>
      <c r="AA292">
        <f t="shared" si="90"/>
        <v>706.95282662252237</v>
      </c>
      <c r="AB292">
        <f t="shared" si="91"/>
        <v>465.06061230699709</v>
      </c>
      <c r="AC292">
        <f t="shared" si="92"/>
        <v>770.6960000000015</v>
      </c>
      <c r="AD292">
        <f t="shared" si="93"/>
        <v>355.87848668085815</v>
      </c>
      <c r="AE292">
        <f t="shared" si="94"/>
        <v>535.84130000000005</v>
      </c>
      <c r="AF292">
        <f t="shared" si="95"/>
        <v>369.70602242715552</v>
      </c>
      <c r="AG292">
        <f t="shared" si="96"/>
        <v>287.73992247918466</v>
      </c>
      <c r="AH292">
        <f t="shared" si="97"/>
        <v>342.07857672066081</v>
      </c>
      <c r="AI292">
        <f t="shared" si="98"/>
        <v>237.36985424063332</v>
      </c>
    </row>
    <row r="293" spans="1:35" x14ac:dyDescent="0.2">
      <c r="A293">
        <f t="shared" si="88"/>
        <v>289</v>
      </c>
      <c r="B293" s="1">
        <v>45657</v>
      </c>
      <c r="C293">
        <v>-3.0750267814504628E-2</v>
      </c>
      <c r="D293" s="212">
        <v>-1.9151003250808651E-2</v>
      </c>
      <c r="E293">
        <v>1.1863302780863005E-2</v>
      </c>
      <c r="F293">
        <v>-5.9431352129391213E-2</v>
      </c>
      <c r="G293">
        <v>-6.7844527848077374E-2</v>
      </c>
      <c r="H293">
        <v>-4.684334414634117E-4</v>
      </c>
      <c r="I293">
        <v>5.0704838662865015E-3</v>
      </c>
      <c r="J293">
        <v>-7.6717146377356382E-3</v>
      </c>
      <c r="K293">
        <v>3.7660069458440582E-3</v>
      </c>
      <c r="Z293" s="1">
        <f t="shared" si="89"/>
        <v>45657</v>
      </c>
      <c r="AA293">
        <f t="shared" si="90"/>
        <v>685.21383787165871</v>
      </c>
      <c r="AB293">
        <f t="shared" si="91"/>
        <v>456.15423500888272</v>
      </c>
      <c r="AC293">
        <f t="shared" si="92"/>
        <v>779.83900000000153</v>
      </c>
      <c r="AD293">
        <f t="shared" si="93"/>
        <v>334.72814702365321</v>
      </c>
      <c r="AE293">
        <f t="shared" si="94"/>
        <v>499.48740000000004</v>
      </c>
      <c r="AF293">
        <f t="shared" si="95"/>
        <v>369.5328397627402</v>
      </c>
      <c r="AG293">
        <f t="shared" si="96"/>
        <v>289.19890311380192</v>
      </c>
      <c r="AH293">
        <f t="shared" si="97"/>
        <v>339.45424749637715</v>
      </c>
      <c r="AI293">
        <f t="shared" si="98"/>
        <v>238.26379076043753</v>
      </c>
    </row>
    <row r="294" spans="1:35" x14ac:dyDescent="0.2">
      <c r="A294">
        <f t="shared" si="88"/>
        <v>290</v>
      </c>
      <c r="B294" s="1">
        <v>45688</v>
      </c>
      <c r="C294">
        <v>4.4635901806342471E-2</v>
      </c>
      <c r="D294" s="212">
        <v>3.4572064135910852E-2</v>
      </c>
      <c r="E294">
        <v>1.5980221558552499E-2</v>
      </c>
      <c r="F294">
        <v>4.3758614399221685E-2</v>
      </c>
      <c r="G294">
        <v>1.4592560292812085E-2</v>
      </c>
      <c r="H294">
        <v>2.2214150976555658E-2</v>
      </c>
      <c r="I294">
        <v>1.878878747766155E-3</v>
      </c>
      <c r="J294">
        <v>2.7733669916032433E-3</v>
      </c>
      <c r="K294">
        <v>3.8193032677722449E-3</v>
      </c>
      <c r="Z294" s="1">
        <f t="shared" si="89"/>
        <v>45688</v>
      </c>
      <c r="AA294">
        <f t="shared" si="90"/>
        <v>715.79897545524511</v>
      </c>
      <c r="AB294">
        <f t="shared" si="91"/>
        <v>471.92442847747719</v>
      </c>
      <c r="AC294">
        <f t="shared" si="92"/>
        <v>792.30100000000164</v>
      </c>
      <c r="AD294">
        <f t="shared" si="93"/>
        <v>349.37538693782722</v>
      </c>
      <c r="AE294">
        <f t="shared" si="94"/>
        <v>506.77619999999996</v>
      </c>
      <c r="AF294">
        <f t="shared" si="95"/>
        <v>377.74169805602503</v>
      </c>
      <c r="AG294">
        <f t="shared" si="96"/>
        <v>289.7422727867397</v>
      </c>
      <c r="AH294">
        <f t="shared" si="97"/>
        <v>340.39567870154315</v>
      </c>
      <c r="AI294">
        <f t="shared" si="98"/>
        <v>239.17379243508068</v>
      </c>
    </row>
    <row r="295" spans="1:35" x14ac:dyDescent="0.2">
      <c r="A295">
        <f t="shared" si="88"/>
        <v>291</v>
      </c>
      <c r="B295" s="1">
        <v>45716</v>
      </c>
      <c r="C295">
        <v>-3.7911131870863368E-2</v>
      </c>
      <c r="D295" s="212">
        <v>-9.5600411371088434E-3</v>
      </c>
      <c r="E295">
        <v>7.3583145799385186E-3</v>
      </c>
      <c r="F295">
        <v>-6.4397185156775283E-2</v>
      </c>
      <c r="G295">
        <v>2.8777594527920058E-2</v>
      </c>
      <c r="H295">
        <v>1.85679736839095E-3</v>
      </c>
      <c r="I295">
        <v>9.274076018187305E-3</v>
      </c>
      <c r="J295">
        <v>9.6938583254642108E-3</v>
      </c>
      <c r="K295">
        <v>3.3897316106701325E-3</v>
      </c>
      <c r="Z295" s="1">
        <f t="shared" si="89"/>
        <v>45716</v>
      </c>
      <c r="AA295">
        <f t="shared" si="90"/>
        <v>688.66222610373245</v>
      </c>
      <c r="AB295">
        <f t="shared" si="91"/>
        <v>467.41281152762593</v>
      </c>
      <c r="AC295">
        <f t="shared" si="92"/>
        <v>798.13100000000156</v>
      </c>
      <c r="AD295">
        <f t="shared" si="93"/>
        <v>326.87659545597194</v>
      </c>
      <c r="AE295">
        <f t="shared" si="94"/>
        <v>521.36000000000013</v>
      </c>
      <c r="AF295">
        <f t="shared" si="95"/>
        <v>378.44308784690696</v>
      </c>
      <c r="AG295">
        <f t="shared" si="96"/>
        <v>292.42936465024627</v>
      </c>
      <c r="AH295">
        <f t="shared" si="97"/>
        <v>343.69542618547615</v>
      </c>
      <c r="AI295">
        <f t="shared" si="98"/>
        <v>239.98452739974172</v>
      </c>
    </row>
    <row r="296" spans="1:35" x14ac:dyDescent="0.2">
      <c r="A296">
        <f t="shared" si="88"/>
        <v>292</v>
      </c>
      <c r="B296" s="1">
        <v>45747</v>
      </c>
      <c r="C296">
        <v>-3.3390684829866624E-2</v>
      </c>
      <c r="D296" s="212">
        <v>-5.0168405779966396E-2</v>
      </c>
      <c r="E296">
        <v>2.9844724738170569E-3</v>
      </c>
      <c r="F296">
        <v>-5.2816335002464854E-2</v>
      </c>
      <c r="G296">
        <v>1.2474489795918142E-2</v>
      </c>
      <c r="H296">
        <v>-3.3062956903751051E-3</v>
      </c>
      <c r="I296">
        <v>1.7408692572198348E-3</v>
      </c>
      <c r="J296">
        <v>-5.2532517411040258E-3</v>
      </c>
      <c r="K296">
        <v>3.4701723236749693E-3</v>
      </c>
      <c r="Z296" s="1">
        <f t="shared" si="89"/>
        <v>45747</v>
      </c>
      <c r="AA296">
        <f t="shared" si="90"/>
        <v>665.66732275766833</v>
      </c>
      <c r="AB296">
        <f t="shared" si="91"/>
        <v>443.96345593215307</v>
      </c>
      <c r="AC296">
        <f t="shared" si="92"/>
        <v>800.51300000000163</v>
      </c>
      <c r="AD296">
        <f t="shared" si="93"/>
        <v>309.61217168590412</v>
      </c>
      <c r="AE296">
        <f t="shared" si="94"/>
        <v>527.86369999999999</v>
      </c>
      <c r="AF296">
        <f t="shared" si="95"/>
        <v>377.19184309650649</v>
      </c>
      <c r="AG296">
        <f t="shared" si="96"/>
        <v>292.93844594107424</v>
      </c>
      <c r="AH296">
        <f t="shared" si="97"/>
        <v>341.88990758945783</v>
      </c>
      <c r="AI296">
        <f t="shared" si="98"/>
        <v>240.81731506483453</v>
      </c>
    </row>
    <row r="297" spans="1:35" x14ac:dyDescent="0.2">
      <c r="A297">
        <f t="shared" si="88"/>
        <v>293</v>
      </c>
      <c r="B297" s="1">
        <v>45777</v>
      </c>
      <c r="C297">
        <v>3.5979478342601956E-2</v>
      </c>
      <c r="D297" s="212">
        <v>-3.7483142977071671E-3</v>
      </c>
      <c r="E297">
        <v>-2.1336318086028205E-3</v>
      </c>
      <c r="F297">
        <v>6.3995420094063338E-2</v>
      </c>
      <c r="G297">
        <v>-8.1092903338493283E-3</v>
      </c>
      <c r="H297">
        <v>-4.6143250688706061E-3</v>
      </c>
      <c r="I297">
        <v>1.6996251487933378E-2</v>
      </c>
      <c r="J297">
        <v>1.2350224376455277E-2</v>
      </c>
      <c r="K297">
        <v>3.5262459518583533E-3</v>
      </c>
      <c r="Z297" s="1">
        <f t="shared" si="89"/>
        <v>45777</v>
      </c>
      <c r="AA297">
        <f t="shared" si="90"/>
        <v>689.61768578020565</v>
      </c>
      <c r="AB297">
        <f t="shared" si="91"/>
        <v>442.29934136262307</v>
      </c>
      <c r="AC297">
        <f t="shared" si="92"/>
        <v>798.80500000000154</v>
      </c>
      <c r="AD297">
        <f t="shared" si="93"/>
        <v>329.4259326791788</v>
      </c>
      <c r="AE297">
        <f t="shared" si="94"/>
        <v>523.58310000000006</v>
      </c>
      <c r="AF297">
        <f t="shared" si="95"/>
        <v>375.4513573191328</v>
      </c>
      <c r="AG297">
        <f t="shared" si="96"/>
        <v>297.91730143877311</v>
      </c>
      <c r="AH297">
        <f t="shared" si="97"/>
        <v>346.11232466023318</v>
      </c>
      <c r="AI297">
        <f t="shared" si="98"/>
        <v>241.66649614721931</v>
      </c>
    </row>
    <row r="298" spans="1:35" x14ac:dyDescent="0.2">
      <c r="A298">
        <f t="shared" si="88"/>
        <v>294</v>
      </c>
      <c r="B298" s="1">
        <v>45807</v>
      </c>
      <c r="C298">
        <v>4.1967360609691973E-2</v>
      </c>
      <c r="D298" s="212">
        <v>5.9279899991411478E-2</v>
      </c>
      <c r="E298">
        <v>3.128798642972952E-2</v>
      </c>
      <c r="F298">
        <v>4.9897537818327731E-2</v>
      </c>
      <c r="G298">
        <v>1.0154835020458108E-2</v>
      </c>
      <c r="H298">
        <v>1.394174219885147E-2</v>
      </c>
      <c r="I298">
        <v>1.6290100991547263E-3</v>
      </c>
      <c r="J298">
        <v>-5.6441377769211876E-3</v>
      </c>
      <c r="K298">
        <v>3.4340231147769185E-3</v>
      </c>
      <c r="Z298" s="1">
        <f t="shared" si="89"/>
        <v>45807</v>
      </c>
      <c r="AA298">
        <f t="shared" si="90"/>
        <v>718.55911988216474</v>
      </c>
      <c r="AB298">
        <f t="shared" si="91"/>
        <v>468.51880208486654</v>
      </c>
      <c r="AC298">
        <f t="shared" si="92"/>
        <v>823.79800000000171</v>
      </c>
      <c r="AD298">
        <f t="shared" si="93"/>
        <v>345.86347561337601</v>
      </c>
      <c r="AE298">
        <f t="shared" si="94"/>
        <v>528.90000000000009</v>
      </c>
      <c r="AF298">
        <f t="shared" si="95"/>
        <v>380.68580335108499</v>
      </c>
      <c r="AG298">
        <f t="shared" si="96"/>
        <v>298.40261173152982</v>
      </c>
      <c r="AH298">
        <f t="shared" si="97"/>
        <v>344.15881901356033</v>
      </c>
      <c r="AI298">
        <f t="shared" si="98"/>
        <v>242.496384481056</v>
      </c>
    </row>
    <row r="299" spans="1:35" x14ac:dyDescent="0.2">
      <c r="A299">
        <f t="shared" si="88"/>
        <v>295</v>
      </c>
      <c r="B299" s="1">
        <v>45838</v>
      </c>
      <c r="C299">
        <v>1.419845915788831E-2</v>
      </c>
      <c r="D299" s="212">
        <v>3.7746203800484102E-2</v>
      </c>
      <c r="E299">
        <v>4.8814151041881582E-2</v>
      </c>
      <c r="F299">
        <v>2.0744547812995062E-2</v>
      </c>
      <c r="G299">
        <v>3.6280960484023073E-3</v>
      </c>
      <c r="H299">
        <v>1.2271543439444033E-2</v>
      </c>
      <c r="I299">
        <v>7.4816223719689212E-3</v>
      </c>
      <c r="J299">
        <v>7.3900414949301663E-3</v>
      </c>
      <c r="K299">
        <v>3.1822960359164654E-3</v>
      </c>
      <c r="Z299" s="1">
        <f t="shared" si="89"/>
        <v>45838</v>
      </c>
      <c r="AA299">
        <f t="shared" si="90"/>
        <v>728.76155219833981</v>
      </c>
      <c r="AB299">
        <f t="shared" si="91"/>
        <v>486.2036082727206</v>
      </c>
      <c r="AC299">
        <f t="shared" si="92"/>
        <v>864.01100000000179</v>
      </c>
      <c r="AD299">
        <f t="shared" si="93"/>
        <v>353.03825702000631</v>
      </c>
      <c r="AE299">
        <f t="shared" si="94"/>
        <v>530.8189000000001</v>
      </c>
      <c r="AF299">
        <f t="shared" si="95"/>
        <v>385.35740572368746</v>
      </c>
      <c r="AG299">
        <f t="shared" si="96"/>
        <v>300.63514738731436</v>
      </c>
      <c r="AH299">
        <f t="shared" si="97"/>
        <v>346.70216696691671</v>
      </c>
      <c r="AI299">
        <f t="shared" si="98"/>
        <v>243.26807976411413</v>
      </c>
    </row>
    <row r="300" spans="1:35" x14ac:dyDescent="0.2">
      <c r="A300">
        <f t="shared" si="88"/>
        <v>296</v>
      </c>
      <c r="B300" s="1">
        <v>45869</v>
      </c>
      <c r="C300">
        <v>2.4331764099849051E-2</v>
      </c>
      <c r="D300" s="212">
        <v>2.0266604270509525E-2</v>
      </c>
      <c r="E300">
        <v>3.3743783354610146E-2</v>
      </c>
      <c r="F300">
        <v>3.0383541767761146E-2</v>
      </c>
      <c r="G300">
        <v>1.3875353722333506E-2</v>
      </c>
      <c r="H300">
        <v>5.415365256274951E-3</v>
      </c>
      <c r="I300">
        <v>-3.5268302186775013E-4</v>
      </c>
      <c r="J300">
        <v>-2.9738132701482289E-3</v>
      </c>
      <c r="K300">
        <v>3.0093058078868307E-3</v>
      </c>
      <c r="Z300" s="1">
        <f t="shared" si="89"/>
        <v>45869</v>
      </c>
      <c r="AA300">
        <f t="shared" si="90"/>
        <v>746.4936063714697</v>
      </c>
      <c r="AB300">
        <f t="shared" si="91"/>
        <v>496.05730439647766</v>
      </c>
      <c r="AC300">
        <f t="shared" si="92"/>
        <v>893.16600000000187</v>
      </c>
      <c r="AD300">
        <f t="shared" si="93"/>
        <v>363.76480964779125</v>
      </c>
      <c r="AE300">
        <f t="shared" si="94"/>
        <v>538.18420000000003</v>
      </c>
      <c r="AF300">
        <f t="shared" si="95"/>
        <v>387.4442568298918</v>
      </c>
      <c r="AG300">
        <f t="shared" si="96"/>
        <v>300.52911847505413</v>
      </c>
      <c r="AH300">
        <f t="shared" si="97"/>
        <v>345.67113946200135</v>
      </c>
      <c r="AI300">
        <f t="shared" si="98"/>
        <v>244.00014780942175</v>
      </c>
    </row>
    <row r="301" spans="1:35" x14ac:dyDescent="0.2">
      <c r="A301">
        <f t="shared" si="88"/>
        <v>297</v>
      </c>
      <c r="B301" s="1">
        <v>45898</v>
      </c>
      <c r="C301">
        <v>3.1643784786641982E-2</v>
      </c>
      <c r="D301" s="212">
        <v>2.0613975985434685E-2</v>
      </c>
      <c r="E301">
        <v>1.3725332133108337E-2</v>
      </c>
      <c r="F301">
        <v>4.8089880305693722E-2</v>
      </c>
      <c r="G301">
        <v>7.3601194535255487E-3</v>
      </c>
      <c r="H301">
        <v>1.8572322546039688E-2</v>
      </c>
      <c r="I301">
        <v>3.3472132716299008E-3</v>
      </c>
      <c r="J301">
        <v>2.6182591940913102E-3</v>
      </c>
      <c r="K301">
        <v>3.2043684384088778E-3</v>
      </c>
      <c r="Z301" s="1">
        <f t="shared" si="89"/>
        <v>45898</v>
      </c>
      <c r="AA301">
        <f t="shared" si="90"/>
        <v>770.1154893960927</v>
      </c>
      <c r="AB301">
        <f t="shared" si="91"/>
        <v>506.2830177567061</v>
      </c>
      <c r="AC301">
        <f t="shared" si="92"/>
        <v>905.42500000000177</v>
      </c>
      <c r="AD301">
        <f t="shared" si="93"/>
        <v>381.25821580317699</v>
      </c>
      <c r="AE301">
        <f t="shared" si="94"/>
        <v>542.14530000000013</v>
      </c>
      <c r="AF301">
        <f t="shared" si="95"/>
        <v>394.63999653634721</v>
      </c>
      <c r="AG301">
        <f t="shared" si="96"/>
        <v>301.53505352892506</v>
      </c>
      <c r="AH301">
        <f t="shared" si="97"/>
        <v>346.57619610102978</v>
      </c>
      <c r="AI301">
        <f t="shared" si="98"/>
        <v>244.78201418202937</v>
      </c>
    </row>
  </sheetData>
  <dataConsolidate/>
  <mergeCells count="3">
    <mergeCell ref="B3:L3"/>
    <mergeCell ref="N3:X3"/>
    <mergeCell ref="Z3:AJ3"/>
  </mergeCells>
  <dataValidations count="1">
    <dataValidation type="list" allowBlank="1" showInputMessage="1" showErrorMessage="1" sqref="B1:B2" xr:uid="{00000000-0002-0000-0200-000000000000}">
      <formula1>HistoryDates</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GraphRescale">
                <anchor moveWithCells="1" sizeWithCells="1">
                  <from>
                    <xdr:col>3</xdr:col>
                    <xdr:colOff>406400</xdr:colOff>
                    <xdr:row>0</xdr:row>
                    <xdr:rowOff>38100</xdr:rowOff>
                  </from>
                  <to>
                    <xdr:col>5</xdr:col>
                    <xdr:colOff>0</xdr:colOff>
                    <xdr:row>1</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E29"/>
  <sheetViews>
    <sheetView showGridLines="0" zoomScale="90" zoomScaleNormal="90" workbookViewId="0">
      <selection activeCell="J15" sqref="J15"/>
    </sheetView>
  </sheetViews>
  <sheetFormatPr baseColWidth="10" defaultColWidth="8.83203125" defaultRowHeight="15" x14ac:dyDescent="0.2"/>
  <cols>
    <col min="1" max="1" width="4.6640625" customWidth="1"/>
    <col min="2" max="2" width="37.6640625" customWidth="1"/>
    <col min="3" max="3" width="15.5" customWidth="1"/>
    <col min="4" max="4" width="15.33203125" customWidth="1"/>
    <col min="5" max="5" width="13.33203125" customWidth="1"/>
    <col min="6" max="6" width="30.5" customWidth="1"/>
  </cols>
  <sheetData>
    <row r="2" spans="1:5" ht="15" customHeight="1" x14ac:dyDescent="0.2">
      <c r="C2" s="150"/>
    </row>
    <row r="3" spans="1:5" x14ac:dyDescent="0.2">
      <c r="B3" s="27"/>
      <c r="C3" s="150"/>
    </row>
    <row r="4" spans="1:5" x14ac:dyDescent="0.2">
      <c r="C4" s="150"/>
    </row>
    <row r="5" spans="1:5" x14ac:dyDescent="0.2">
      <c r="B5" s="69" t="s">
        <v>56</v>
      </c>
    </row>
    <row r="6" spans="1:5" x14ac:dyDescent="0.2">
      <c r="C6" s="28"/>
      <c r="D6" s="28"/>
    </row>
    <row r="7" spans="1:5" ht="51" customHeight="1" x14ac:dyDescent="0.2">
      <c r="A7" s="110" t="s">
        <v>66</v>
      </c>
      <c r="B7" s="22" t="s">
        <v>32</v>
      </c>
      <c r="C7" s="103" t="s">
        <v>58</v>
      </c>
      <c r="D7" s="123" t="s">
        <v>85</v>
      </c>
    </row>
    <row r="8" spans="1:5" x14ac:dyDescent="0.2">
      <c r="A8" s="125">
        <v>1</v>
      </c>
      <c r="B8" s="29" t="str">
        <f>'Monthly Raw Data'!O4</f>
        <v>Australian Listed Equity [G]</v>
      </c>
      <c r="C8" s="184">
        <v>3.5000000000000001E-3</v>
      </c>
      <c r="D8" s="185">
        <v>0</v>
      </c>
      <c r="E8" t="s">
        <v>148</v>
      </c>
    </row>
    <row r="9" spans="1:5" x14ac:dyDescent="0.2">
      <c r="A9" s="126">
        <v>2</v>
      </c>
      <c r="B9" s="7" t="str">
        <f>'Monthly Raw Data'!P4</f>
        <v>Int'l Listed Equity (Hedged) [G]</v>
      </c>
      <c r="C9" s="186">
        <v>4.4999999999999997E-3</v>
      </c>
      <c r="D9" s="187">
        <v>0</v>
      </c>
      <c r="E9" t="s">
        <v>147</v>
      </c>
    </row>
    <row r="10" spans="1:5" x14ac:dyDescent="0.2">
      <c r="A10" s="126">
        <v>3</v>
      </c>
      <c r="B10" s="60" t="str">
        <f>'Monthly Raw Data'!Q4</f>
        <v>Int'l Listed Equity (Unhedged) [G]</v>
      </c>
      <c r="C10" s="186">
        <v>5.4999999999999997E-3</v>
      </c>
      <c r="D10" s="187">
        <v>0</v>
      </c>
      <c r="E10" t="s">
        <v>147</v>
      </c>
    </row>
    <row r="11" spans="1:5" x14ac:dyDescent="0.2">
      <c r="A11" s="126">
        <v>4</v>
      </c>
      <c r="B11" s="7" t="str">
        <f>'Monthly Raw Data'!R4</f>
        <v>Australian Listed Property [G]</v>
      </c>
      <c r="C11" s="186">
        <v>5.0000000000000001E-3</v>
      </c>
      <c r="D11" s="187">
        <v>0.14000000000000001</v>
      </c>
    </row>
    <row r="12" spans="1:5" ht="15" customHeight="1" x14ac:dyDescent="0.2">
      <c r="A12" s="126">
        <v>5</v>
      </c>
      <c r="B12" s="7" t="str">
        <f>'Monthly Raw Data'!S4</f>
        <v>Int'l Listed Property [G]</v>
      </c>
      <c r="C12" s="186">
        <v>6.4999999999999997E-3</v>
      </c>
      <c r="D12" s="187">
        <v>0</v>
      </c>
      <c r="E12" t="s">
        <v>147</v>
      </c>
    </row>
    <row r="13" spans="1:5" x14ac:dyDescent="0.2">
      <c r="A13" s="126">
        <v>6</v>
      </c>
      <c r="B13" s="7" t="str">
        <f>'Monthly Raw Data'!T4</f>
        <v>Int'l Listed Infrastructure [G]</v>
      </c>
      <c r="C13" s="186">
        <v>1.2E-2</v>
      </c>
      <c r="D13" s="188">
        <v>0</v>
      </c>
      <c r="E13" t="s">
        <v>147</v>
      </c>
    </row>
    <row r="14" spans="1:5" x14ac:dyDescent="0.2">
      <c r="A14" s="126">
        <v>7</v>
      </c>
      <c r="B14" s="7" t="str">
        <f>'Monthly Raw Data'!U4</f>
        <v>Australian Fixed Income [D]</v>
      </c>
      <c r="C14" s="186">
        <v>2E-3</v>
      </c>
      <c r="D14" s="188">
        <v>0.15</v>
      </c>
    </row>
    <row r="15" spans="1:5" x14ac:dyDescent="0.2">
      <c r="A15" s="126">
        <v>8</v>
      </c>
      <c r="B15" s="7" t="str">
        <f>'Monthly Raw Data'!V4</f>
        <v>Int'l Fixed Income (Hedged) [D]</v>
      </c>
      <c r="C15" s="186">
        <v>2.2000000000000001E-3</v>
      </c>
      <c r="D15" s="188">
        <v>0.15</v>
      </c>
    </row>
    <row r="16" spans="1:5" x14ac:dyDescent="0.2">
      <c r="A16" s="126">
        <v>9</v>
      </c>
      <c r="B16" s="60" t="str">
        <f>'Monthly Raw Data'!W4</f>
        <v>Cash [D]</v>
      </c>
      <c r="C16" s="186">
        <v>5.0000000000000001E-4</v>
      </c>
      <c r="D16" s="187">
        <v>0.15</v>
      </c>
    </row>
    <row r="17" spans="1:4" x14ac:dyDescent="0.2">
      <c r="A17" s="127"/>
      <c r="B17" s="14"/>
      <c r="C17" s="151"/>
      <c r="D17" s="124"/>
    </row>
    <row r="18" spans="1:4" x14ac:dyDescent="0.2">
      <c r="B18" s="30"/>
      <c r="C18" s="3"/>
      <c r="D18" s="3"/>
    </row>
    <row r="19" spans="1:4" ht="15" customHeight="1" x14ac:dyDescent="0.2">
      <c r="B19" s="104" t="s">
        <v>86</v>
      </c>
      <c r="C19" s="189">
        <v>0.01</v>
      </c>
      <c r="D19" s="3"/>
    </row>
    <row r="23" spans="1:4" x14ac:dyDescent="0.2">
      <c r="C23" s="114"/>
    </row>
    <row r="24" spans="1:4" x14ac:dyDescent="0.2">
      <c r="C24" s="114"/>
    </row>
    <row r="25" spans="1:4" x14ac:dyDescent="0.2">
      <c r="C25" s="114"/>
    </row>
    <row r="26" spans="1:4" x14ac:dyDescent="0.2">
      <c r="C26" s="114"/>
    </row>
    <row r="27" spans="1:4" x14ac:dyDescent="0.2">
      <c r="C27" s="114"/>
    </row>
    <row r="28" spans="1:4" x14ac:dyDescent="0.2">
      <c r="C28" s="114"/>
    </row>
    <row r="29" spans="1:4" x14ac:dyDescent="0.2">
      <c r="C29" s="11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8C74D-C5FA-417B-8CAF-246223B50313}">
  <sheetPr codeName="Sheet6"/>
  <dimension ref="A1:R61"/>
  <sheetViews>
    <sheetView topLeftCell="G1" workbookViewId="0">
      <selection activeCell="M25" sqref="M25"/>
    </sheetView>
  </sheetViews>
  <sheetFormatPr baseColWidth="10" defaultColWidth="8.83203125" defaultRowHeight="15" x14ac:dyDescent="0.2"/>
  <cols>
    <col min="2" max="2" width="11.33203125" bestFit="1" customWidth="1"/>
    <col min="5" max="5" width="26.1640625" bestFit="1" customWidth="1"/>
    <col min="7" max="7" width="15.6640625" bestFit="1" customWidth="1"/>
    <col min="8" max="8" width="16.5" customWidth="1"/>
    <col min="9" max="9" width="26.1640625" bestFit="1" customWidth="1"/>
    <col min="10" max="10" width="14.5" customWidth="1"/>
    <col min="11" max="11" width="31.83203125" customWidth="1"/>
    <col min="12" max="12" width="8.83203125" customWidth="1"/>
    <col min="13" max="13" width="26.1640625" bestFit="1" customWidth="1"/>
    <col min="14" max="14" width="6.6640625" bestFit="1" customWidth="1"/>
    <col min="15" max="15" width="26.1640625" bestFit="1" customWidth="1"/>
    <col min="16" max="16" width="6.6640625" bestFit="1" customWidth="1"/>
  </cols>
  <sheetData>
    <row r="1" spans="1:18" x14ac:dyDescent="0.2">
      <c r="A1" t="s">
        <v>97</v>
      </c>
    </row>
    <row r="2" spans="1:18" x14ac:dyDescent="0.2">
      <c r="B2" t="s">
        <v>95</v>
      </c>
      <c r="D2" t="s">
        <v>96</v>
      </c>
      <c r="E2" t="s">
        <v>101</v>
      </c>
      <c r="G2" t="s">
        <v>102</v>
      </c>
      <c r="I2" s="230" t="s">
        <v>102</v>
      </c>
      <c r="J2" s="230"/>
      <c r="K2" s="230"/>
      <c r="L2" s="230"/>
      <c r="M2" s="230"/>
      <c r="N2" s="230"/>
      <c r="O2" s="230"/>
      <c r="P2" s="230"/>
    </row>
    <row r="3" spans="1:18" ht="29.25" customHeight="1" x14ac:dyDescent="0.2">
      <c r="I3" s="233" t="s">
        <v>104</v>
      </c>
      <c r="J3" s="234"/>
      <c r="K3" s="231" t="s">
        <v>100</v>
      </c>
      <c r="L3" s="232"/>
      <c r="M3" s="233" t="s">
        <v>98</v>
      </c>
      <c r="N3" s="234"/>
      <c r="O3" s="231" t="s">
        <v>99</v>
      </c>
      <c r="P3" s="232"/>
      <c r="Q3" s="231" t="s">
        <v>150</v>
      </c>
      <c r="R3" s="232"/>
    </row>
    <row r="4" spans="1:18" x14ac:dyDescent="0.2">
      <c r="I4" s="198" t="s">
        <v>96</v>
      </c>
      <c r="J4" s="198" t="s">
        <v>103</v>
      </c>
      <c r="K4" s="198" t="s">
        <v>96</v>
      </c>
      <c r="L4" s="198" t="s">
        <v>103</v>
      </c>
      <c r="M4" s="198" t="s">
        <v>96</v>
      </c>
      <c r="N4" s="198" t="s">
        <v>103</v>
      </c>
      <c r="O4" s="198" t="s">
        <v>96</v>
      </c>
      <c r="P4" t="s">
        <v>103</v>
      </c>
      <c r="Q4" s="198" t="s">
        <v>27</v>
      </c>
      <c r="R4" s="198" t="s">
        <v>28</v>
      </c>
    </row>
    <row r="6" spans="1:18" x14ac:dyDescent="0.2">
      <c r="H6">
        <v>1</v>
      </c>
      <c r="I6" t="str">
        <f t="shared" ref="I6:I13" ca="1" si="0">OFFSET(AssetClasses,0,$H6-1,1,1)</f>
        <v>Australian Listed Equity [G]</v>
      </c>
      <c r="J6" s="201">
        <v>0.35</v>
      </c>
      <c r="K6" t="str">
        <f t="shared" ref="K6:K13" ca="1" si="1">OFFSET(AssetClasses,0,$H6-1,1,1)</f>
        <v>Australian Listed Equity [G]</v>
      </c>
      <c r="L6" s="201">
        <v>0.35</v>
      </c>
      <c r="M6" t="str">
        <f t="shared" ref="M6:M13" ca="1" si="2">OFFSET(AssetClasses,0,$H6-1,1,1)</f>
        <v>Australian Listed Equity [G]</v>
      </c>
      <c r="N6" s="201">
        <v>0.35</v>
      </c>
      <c r="O6" t="str">
        <f t="shared" ref="O6:O13" ca="1" si="3">OFFSET(AssetClasses,0,$H6-1,1,1)</f>
        <v>Australian Listed Equity [G]</v>
      </c>
      <c r="P6" s="201">
        <v>0.35</v>
      </c>
      <c r="Q6" s="114">
        <v>0.1</v>
      </c>
      <c r="R6" s="219">
        <v>0.5</v>
      </c>
    </row>
    <row r="7" spans="1:18" x14ac:dyDescent="0.2">
      <c r="H7">
        <v>3</v>
      </c>
      <c r="I7" t="str">
        <f t="shared" ca="1" si="0"/>
        <v>Int'l Listed Equity (Unhedged) [G]</v>
      </c>
      <c r="J7" s="201">
        <v>0.3</v>
      </c>
      <c r="K7" t="str">
        <f t="shared" ca="1" si="1"/>
        <v>Int'l Listed Equity (Unhedged) [G]</v>
      </c>
      <c r="L7" s="201">
        <v>0.3</v>
      </c>
      <c r="M7" t="str">
        <f t="shared" ca="1" si="2"/>
        <v>Int'l Listed Equity (Unhedged) [G]</v>
      </c>
      <c r="N7" s="201">
        <v>0.3</v>
      </c>
      <c r="O7" t="str">
        <f t="shared" ca="1" si="3"/>
        <v>Int'l Listed Equity (Unhedged) [G]</v>
      </c>
      <c r="P7" s="201">
        <v>0.3</v>
      </c>
      <c r="Q7" s="114">
        <v>0.1</v>
      </c>
      <c r="R7" s="220">
        <v>0.45</v>
      </c>
    </row>
    <row r="8" spans="1:18" x14ac:dyDescent="0.2">
      <c r="H8">
        <v>4</v>
      </c>
      <c r="I8" t="str">
        <f t="shared" ca="1" si="0"/>
        <v>Australian Listed Property [G]</v>
      </c>
      <c r="J8" s="201">
        <v>0</v>
      </c>
      <c r="K8" t="str">
        <f t="shared" ca="1" si="1"/>
        <v>Australian Listed Property [G]</v>
      </c>
      <c r="L8" s="201">
        <v>0.05</v>
      </c>
      <c r="M8" t="str">
        <f t="shared" ca="1" si="2"/>
        <v>Australian Listed Property [G]</v>
      </c>
      <c r="N8" s="201">
        <v>0</v>
      </c>
      <c r="O8" t="str">
        <f t="shared" ca="1" si="3"/>
        <v>Australian Listed Property [G]</v>
      </c>
      <c r="P8" s="201">
        <v>0</v>
      </c>
      <c r="Q8" s="114">
        <v>0</v>
      </c>
      <c r="R8" s="220">
        <v>0.1</v>
      </c>
    </row>
    <row r="9" spans="1:18" x14ac:dyDescent="0.2">
      <c r="H9">
        <v>7</v>
      </c>
      <c r="I9" t="str">
        <f t="shared" ca="1" si="0"/>
        <v>Australian Fixed Income [D]</v>
      </c>
      <c r="J9" s="201">
        <v>0</v>
      </c>
      <c r="K9" t="str">
        <f ca="1">OFFSET(AssetClasses,0,$H9-1,1,1)</f>
        <v>Australian Fixed Income [D]</v>
      </c>
      <c r="L9" s="201">
        <v>0.15</v>
      </c>
      <c r="M9" t="str">
        <f t="shared" ca="1" si="2"/>
        <v>Australian Fixed Income [D]</v>
      </c>
      <c r="N9" s="201">
        <v>0</v>
      </c>
      <c r="O9" t="str">
        <f t="shared" ca="1" si="3"/>
        <v>Australian Fixed Income [D]</v>
      </c>
      <c r="P9" s="201">
        <v>0</v>
      </c>
      <c r="Q9" s="114">
        <v>0.05</v>
      </c>
      <c r="R9" s="220">
        <v>0.3</v>
      </c>
    </row>
    <row r="10" spans="1:18" x14ac:dyDescent="0.2">
      <c r="H10">
        <v>8</v>
      </c>
      <c r="I10" t="str">
        <f t="shared" ca="1" si="0"/>
        <v>Int'l Fixed Income (Hedged) [D]</v>
      </c>
      <c r="J10" s="201">
        <v>0.05</v>
      </c>
      <c r="K10" t="str">
        <f t="shared" ca="1" si="1"/>
        <v>Int'l Fixed Income (Hedged) [D]</v>
      </c>
      <c r="L10" s="201">
        <v>0.08</v>
      </c>
      <c r="M10" t="str">
        <f t="shared" ca="1" si="2"/>
        <v>Int'l Fixed Income (Hedged) [D]</v>
      </c>
      <c r="N10" s="201">
        <v>0.05</v>
      </c>
      <c r="O10" t="str">
        <f t="shared" ca="1" si="3"/>
        <v>Int'l Fixed Income (Hedged) [D]</v>
      </c>
      <c r="P10" s="201">
        <v>0.05</v>
      </c>
      <c r="Q10" s="114">
        <v>0</v>
      </c>
      <c r="R10" s="220">
        <v>0.2</v>
      </c>
    </row>
    <row r="11" spans="1:18" x14ac:dyDescent="0.2">
      <c r="H11">
        <v>5</v>
      </c>
      <c r="I11" t="str">
        <f t="shared" ca="1" si="0"/>
        <v>Int'l Listed Property [G]</v>
      </c>
      <c r="J11" s="201">
        <v>0.23</v>
      </c>
      <c r="K11" t="str">
        <f t="shared" ca="1" si="1"/>
        <v>Int'l Listed Property [G]</v>
      </c>
      <c r="L11" s="201">
        <v>0</v>
      </c>
      <c r="M11" t="str">
        <f t="shared" ca="1" si="2"/>
        <v>Int'l Listed Property [G]</v>
      </c>
      <c r="N11" s="201">
        <v>0.23</v>
      </c>
      <c r="O11" t="str">
        <f t="shared" ca="1" si="3"/>
        <v>Int'l Listed Property [G]</v>
      </c>
      <c r="P11" s="201">
        <v>0.23</v>
      </c>
      <c r="Q11" s="114">
        <v>0</v>
      </c>
      <c r="R11" s="220">
        <v>0</v>
      </c>
    </row>
    <row r="12" spans="1:18" x14ac:dyDescent="0.2">
      <c r="H12">
        <v>6</v>
      </c>
      <c r="I12" t="str">
        <f t="shared" ca="1" si="0"/>
        <v>Int'l Listed Infrastructure [G]</v>
      </c>
      <c r="J12" s="201">
        <v>0</v>
      </c>
      <c r="K12" t="str">
        <f t="shared" ca="1" si="1"/>
        <v>Int'l Listed Infrastructure [G]</v>
      </c>
      <c r="L12" s="201">
        <v>0</v>
      </c>
      <c r="M12" t="str">
        <f t="shared" ca="1" si="2"/>
        <v>Int'l Listed Infrastructure [G]</v>
      </c>
      <c r="N12" s="201">
        <v>0</v>
      </c>
      <c r="O12" t="str">
        <f t="shared" ca="1" si="3"/>
        <v>Int'l Listed Infrastructure [G]</v>
      </c>
      <c r="P12" s="201">
        <v>0</v>
      </c>
      <c r="Q12" s="114">
        <v>0</v>
      </c>
      <c r="R12" s="220">
        <v>0</v>
      </c>
    </row>
    <row r="13" spans="1:18" x14ac:dyDescent="0.2">
      <c r="H13">
        <v>9</v>
      </c>
      <c r="I13" t="str">
        <f t="shared" ca="1" si="0"/>
        <v>Cash [D]</v>
      </c>
      <c r="J13" s="201">
        <v>7.0000000000000007E-2</v>
      </c>
      <c r="K13" t="str">
        <f t="shared" ca="1" si="1"/>
        <v>Cash [D]</v>
      </c>
      <c r="L13" s="201">
        <v>7.0000000000000007E-2</v>
      </c>
      <c r="M13" t="str">
        <f t="shared" ca="1" si="2"/>
        <v>Cash [D]</v>
      </c>
      <c r="N13" s="201">
        <v>7.0000000000000007E-2</v>
      </c>
      <c r="O13" t="str">
        <f t="shared" ca="1" si="3"/>
        <v>Cash [D]</v>
      </c>
      <c r="P13" s="201">
        <v>7.0000000000000007E-2</v>
      </c>
      <c r="Q13" s="114">
        <v>0.05</v>
      </c>
      <c r="R13" s="220">
        <v>0.25</v>
      </c>
    </row>
    <row r="15" spans="1:18" ht="17" thickBot="1" x14ac:dyDescent="0.25">
      <c r="H15" s="199" t="s">
        <v>105</v>
      </c>
      <c r="J15" s="200">
        <v>30</v>
      </c>
      <c r="L15" s="200">
        <v>70</v>
      </c>
      <c r="N15" s="200">
        <v>85</v>
      </c>
      <c r="P15" s="200">
        <v>98</v>
      </c>
    </row>
    <row r="21" spans="8:12" x14ac:dyDescent="0.2">
      <c r="H21" t="s">
        <v>106</v>
      </c>
      <c r="I21" t="s">
        <v>107</v>
      </c>
    </row>
    <row r="22" spans="8:12" ht="16" x14ac:dyDescent="0.2">
      <c r="H22">
        <v>1</v>
      </c>
      <c r="I22" s="202" t="s">
        <v>59</v>
      </c>
    </row>
    <row r="23" spans="8:12" ht="16" x14ac:dyDescent="0.2">
      <c r="H23">
        <v>2</v>
      </c>
      <c r="I23" s="202" t="s">
        <v>73</v>
      </c>
    </row>
    <row r="24" spans="8:12" ht="16" x14ac:dyDescent="0.2">
      <c r="H24">
        <v>3</v>
      </c>
      <c r="I24" s="202" t="s">
        <v>74</v>
      </c>
      <c r="L24">
        <v>100</v>
      </c>
    </row>
    <row r="25" spans="8:12" ht="16" x14ac:dyDescent="0.2">
      <c r="H25">
        <v>4</v>
      </c>
      <c r="I25" s="202" t="s">
        <v>57</v>
      </c>
    </row>
    <row r="26" spans="8:12" ht="32" x14ac:dyDescent="0.2">
      <c r="H26">
        <v>5</v>
      </c>
      <c r="I26" s="202" t="s">
        <v>91</v>
      </c>
    </row>
    <row r="27" spans="8:12" ht="16" x14ac:dyDescent="0.2">
      <c r="H27">
        <v>6</v>
      </c>
      <c r="I27" s="202" t="s">
        <v>90</v>
      </c>
    </row>
    <row r="28" spans="8:12" ht="16" x14ac:dyDescent="0.2">
      <c r="H28">
        <v>7</v>
      </c>
      <c r="I28" s="202" t="s">
        <v>38</v>
      </c>
    </row>
    <row r="29" spans="8:12" ht="16" x14ac:dyDescent="0.2">
      <c r="H29">
        <v>8</v>
      </c>
      <c r="I29" s="202" t="s">
        <v>75</v>
      </c>
    </row>
    <row r="30" spans="8:12" ht="16" x14ac:dyDescent="0.2">
      <c r="H30">
        <v>9</v>
      </c>
      <c r="I30" s="202" t="s">
        <v>31</v>
      </c>
    </row>
    <row r="36" spans="8:13" ht="16" thickBot="1" x14ac:dyDescent="0.25"/>
    <row r="37" spans="8:13" ht="17" thickBot="1" x14ac:dyDescent="0.25">
      <c r="I37" s="203"/>
      <c r="J37" s="204" t="s">
        <v>104</v>
      </c>
      <c r="K37" s="205" t="s">
        <v>100</v>
      </c>
      <c r="L37" s="204" t="s">
        <v>98</v>
      </c>
      <c r="M37" s="204" t="s">
        <v>99</v>
      </c>
    </row>
    <row r="38" spans="8:13" ht="16" x14ac:dyDescent="0.2">
      <c r="H38">
        <v>1</v>
      </c>
      <c r="I38" s="206" t="s">
        <v>108</v>
      </c>
      <c r="J38" s="207">
        <v>15</v>
      </c>
      <c r="K38" s="207">
        <v>35</v>
      </c>
      <c r="L38" s="207">
        <v>43</v>
      </c>
      <c r="M38" s="207">
        <v>50</v>
      </c>
    </row>
    <row r="39" spans="8:13" ht="16" x14ac:dyDescent="0.2">
      <c r="H39">
        <v>2</v>
      </c>
      <c r="I39" s="206" t="s">
        <v>109</v>
      </c>
      <c r="J39" s="207">
        <v>20</v>
      </c>
      <c r="K39" s="207">
        <v>30</v>
      </c>
      <c r="L39" s="207">
        <v>35</v>
      </c>
      <c r="M39" s="207">
        <v>40</v>
      </c>
    </row>
    <row r="40" spans="8:13" ht="16" x14ac:dyDescent="0.2">
      <c r="H40">
        <v>4</v>
      </c>
      <c r="I40" s="206" t="s">
        <v>110</v>
      </c>
      <c r="J40" s="207">
        <v>0</v>
      </c>
      <c r="K40" s="207">
        <v>5</v>
      </c>
      <c r="L40" s="207">
        <v>7</v>
      </c>
      <c r="M40" s="207">
        <v>8</v>
      </c>
    </row>
    <row r="41" spans="8:13" x14ac:dyDescent="0.2">
      <c r="I41" s="206"/>
      <c r="J41" s="207"/>
      <c r="K41" s="207"/>
      <c r="L41" s="207"/>
      <c r="M41" s="207"/>
    </row>
    <row r="42" spans="8:13" ht="16" x14ac:dyDescent="0.2">
      <c r="H42">
        <v>7</v>
      </c>
      <c r="I42" s="206" t="s">
        <v>111</v>
      </c>
      <c r="J42" s="207">
        <v>20</v>
      </c>
      <c r="K42" s="207">
        <v>15</v>
      </c>
      <c r="L42" s="207">
        <v>9</v>
      </c>
      <c r="M42" s="207">
        <v>0</v>
      </c>
    </row>
    <row r="43" spans="8:13" ht="16" x14ac:dyDescent="0.2">
      <c r="H43">
        <v>8</v>
      </c>
      <c r="I43" s="206" t="s">
        <v>112</v>
      </c>
      <c r="J43" s="207">
        <v>10</v>
      </c>
      <c r="K43" s="207">
        <v>8</v>
      </c>
      <c r="L43" s="207">
        <v>4</v>
      </c>
      <c r="M43" s="207">
        <v>0</v>
      </c>
    </row>
    <row r="44" spans="8:13" ht="16" x14ac:dyDescent="0.2">
      <c r="H44">
        <v>9</v>
      </c>
      <c r="I44" s="206" t="s">
        <v>84</v>
      </c>
      <c r="J44" s="207">
        <v>35</v>
      </c>
      <c r="K44" s="207">
        <v>7</v>
      </c>
      <c r="L44" s="207">
        <v>2</v>
      </c>
      <c r="M44" s="207">
        <v>2</v>
      </c>
    </row>
    <row r="45" spans="8:13" x14ac:dyDescent="0.2">
      <c r="I45" s="206"/>
      <c r="J45" s="207"/>
      <c r="K45" s="207"/>
      <c r="L45" s="207"/>
      <c r="M45" s="207"/>
    </row>
    <row r="46" spans="8:13" ht="17" thickBot="1" x14ac:dyDescent="0.25">
      <c r="I46" s="199" t="s">
        <v>105</v>
      </c>
      <c r="J46" s="200">
        <v>35</v>
      </c>
      <c r="K46" s="200">
        <v>70</v>
      </c>
      <c r="L46" s="200">
        <v>85</v>
      </c>
      <c r="M46" s="200">
        <v>98</v>
      </c>
    </row>
    <row r="51" spans="8:10" ht="16" thickBot="1" x14ac:dyDescent="0.25"/>
    <row r="52" spans="8:10" ht="33" thickBot="1" x14ac:dyDescent="0.25">
      <c r="H52" s="208" t="s">
        <v>32</v>
      </c>
      <c r="I52" s="208" t="s">
        <v>113</v>
      </c>
      <c r="J52" s="204" t="s">
        <v>39</v>
      </c>
    </row>
    <row r="53" spans="8:10" ht="33" thickBot="1" x14ac:dyDescent="0.25">
      <c r="H53" s="209" t="s">
        <v>108</v>
      </c>
      <c r="I53" s="209" t="s">
        <v>114</v>
      </c>
      <c r="J53" s="210" t="s">
        <v>115</v>
      </c>
    </row>
    <row r="54" spans="8:10" ht="49" thickBot="1" x14ac:dyDescent="0.25">
      <c r="H54" s="209" t="s">
        <v>109</v>
      </c>
      <c r="I54" s="209" t="s">
        <v>116</v>
      </c>
      <c r="J54" s="210" t="s">
        <v>117</v>
      </c>
    </row>
    <row r="55" spans="8:10" ht="49" thickBot="1" x14ac:dyDescent="0.25">
      <c r="H55" s="209" t="s">
        <v>118</v>
      </c>
      <c r="I55" s="209" t="s">
        <v>119</v>
      </c>
      <c r="J55" s="210" t="s">
        <v>120</v>
      </c>
    </row>
    <row r="56" spans="8:10" ht="33" thickBot="1" x14ac:dyDescent="0.25">
      <c r="H56" s="209" t="s">
        <v>121</v>
      </c>
      <c r="I56" s="209" t="s">
        <v>122</v>
      </c>
      <c r="J56" s="210" t="s">
        <v>123</v>
      </c>
    </row>
    <row r="57" spans="8:10" ht="49" thickBot="1" x14ac:dyDescent="0.25">
      <c r="H57" s="209" t="s">
        <v>124</v>
      </c>
      <c r="I57" s="209" t="s">
        <v>125</v>
      </c>
      <c r="J57" s="210" t="s">
        <v>126</v>
      </c>
    </row>
    <row r="58" spans="8:10" ht="49" thickBot="1" x14ac:dyDescent="0.25">
      <c r="H58" s="209" t="s">
        <v>127</v>
      </c>
      <c r="I58" s="209" t="s">
        <v>128</v>
      </c>
      <c r="J58" s="210" t="s">
        <v>60</v>
      </c>
    </row>
    <row r="59" spans="8:10" ht="33" thickBot="1" x14ac:dyDescent="0.25">
      <c r="H59" s="209" t="s">
        <v>111</v>
      </c>
      <c r="I59" s="209" t="s">
        <v>129</v>
      </c>
      <c r="J59" s="210" t="s">
        <v>62</v>
      </c>
    </row>
    <row r="60" spans="8:10" ht="33" thickBot="1" x14ac:dyDescent="0.25">
      <c r="H60" s="209" t="s">
        <v>112</v>
      </c>
      <c r="I60" s="209" t="s">
        <v>130</v>
      </c>
      <c r="J60" s="210" t="s">
        <v>131</v>
      </c>
    </row>
    <row r="61" spans="8:10" ht="33" thickBot="1" x14ac:dyDescent="0.25">
      <c r="H61" s="199" t="s">
        <v>84</v>
      </c>
      <c r="I61" s="199" t="s">
        <v>132</v>
      </c>
      <c r="J61" s="200" t="s">
        <v>61</v>
      </c>
    </row>
  </sheetData>
  <mergeCells count="6">
    <mergeCell ref="I2:P2"/>
    <mergeCell ref="Q3:R3"/>
    <mergeCell ref="I3:J3"/>
    <mergeCell ref="K3:L3"/>
    <mergeCell ref="M3:N3"/>
    <mergeCell ref="O3:P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9DB3-25A9-4F1C-ACC3-89A4508EF18D}">
  <sheetPr codeName="Sheet5"/>
  <dimension ref="A1:E30"/>
  <sheetViews>
    <sheetView workbookViewId="0">
      <selection activeCell="B9" sqref="B9"/>
    </sheetView>
  </sheetViews>
  <sheetFormatPr baseColWidth="10" defaultColWidth="9.1640625" defaultRowHeight="15" x14ac:dyDescent="0.2"/>
  <cols>
    <col min="1" max="1" width="9.1640625" style="3"/>
    <col min="2" max="5" width="25.6640625" style="3" customWidth="1"/>
    <col min="6" max="16384" width="9.1640625" style="3"/>
  </cols>
  <sheetData>
    <row r="1" spans="1:4" x14ac:dyDescent="0.2">
      <c r="A1" s="3" t="s">
        <v>68</v>
      </c>
    </row>
    <row r="4" spans="1:4" x14ac:dyDescent="0.2">
      <c r="B4" s="3" t="s">
        <v>69</v>
      </c>
    </row>
    <row r="5" spans="1:4" x14ac:dyDescent="0.2">
      <c r="B5" s="117">
        <v>1</v>
      </c>
      <c r="C5" s="118">
        <v>0.5</v>
      </c>
      <c r="D5" s="118">
        <f>C5*ASFGrowthWeight</f>
        <v>0.42499999999999999</v>
      </c>
    </row>
    <row r="6" spans="1:4" x14ac:dyDescent="0.2">
      <c r="B6" s="117">
        <v>2</v>
      </c>
      <c r="C6" s="118">
        <v>0.25</v>
      </c>
      <c r="D6" s="118">
        <f>C6*ASFGrowthWeight</f>
        <v>0.21249999999999999</v>
      </c>
    </row>
    <row r="7" spans="1:4" x14ac:dyDescent="0.2">
      <c r="B7" s="117">
        <v>3</v>
      </c>
      <c r="C7" s="118">
        <v>0.25</v>
      </c>
      <c r="D7" s="118">
        <f>C7*ASFGrowthWeight</f>
        <v>0.21249999999999999</v>
      </c>
    </row>
    <row r="8" spans="1:4" x14ac:dyDescent="0.2">
      <c r="B8" s="117">
        <v>8</v>
      </c>
      <c r="C8" s="118">
        <v>0.4</v>
      </c>
      <c r="D8" s="118">
        <f>C8*(1-ASFGrowthWeight)</f>
        <v>6.0000000000000012E-2</v>
      </c>
    </row>
    <row r="9" spans="1:4" x14ac:dyDescent="0.2">
      <c r="B9" s="117">
        <v>9</v>
      </c>
      <c r="C9" s="118">
        <v>0.4</v>
      </c>
      <c r="D9" s="118">
        <f>C9*(1-ASFGrowthWeight)</f>
        <v>6.0000000000000012E-2</v>
      </c>
    </row>
    <row r="10" spans="1:4" x14ac:dyDescent="0.2">
      <c r="B10" s="117">
        <v>10</v>
      </c>
      <c r="C10" s="118">
        <f>1-C9-C8</f>
        <v>0.19999999999999996</v>
      </c>
      <c r="D10" s="118">
        <f>C10*(1-ASFGrowthWeight)</f>
        <v>0.03</v>
      </c>
    </row>
    <row r="11" spans="1:4" x14ac:dyDescent="0.2">
      <c r="B11" s="117"/>
      <c r="C11" s="117"/>
      <c r="D11" s="118">
        <f>SUM(D5:D10)</f>
        <v>1</v>
      </c>
    </row>
    <row r="12" spans="1:4" ht="16" thickBot="1" x14ac:dyDescent="0.25"/>
    <row r="13" spans="1:4" s="120" customFormat="1" ht="20" thickBot="1" x14ac:dyDescent="0.3">
      <c r="B13" s="121" t="s">
        <v>67</v>
      </c>
      <c r="C13" s="122">
        <v>0.85</v>
      </c>
    </row>
    <row r="15" spans="1:4" x14ac:dyDescent="0.2">
      <c r="B15" s="105" t="s">
        <v>72</v>
      </c>
    </row>
    <row r="18" spans="1:5" ht="19" x14ac:dyDescent="0.2">
      <c r="A18" s="119" t="s">
        <v>70</v>
      </c>
    </row>
    <row r="19" spans="1:5" x14ac:dyDescent="0.2">
      <c r="A19" s="235" t="s">
        <v>71</v>
      </c>
      <c r="B19" s="235"/>
      <c r="C19" s="235"/>
      <c r="D19" s="235"/>
      <c r="E19" s="235"/>
    </row>
    <row r="20" spans="1:5" x14ac:dyDescent="0.2">
      <c r="A20" s="235"/>
      <c r="B20" s="235"/>
      <c r="C20" s="235"/>
      <c r="D20" s="235"/>
      <c r="E20" s="235"/>
    </row>
    <row r="21" spans="1:5" x14ac:dyDescent="0.2">
      <c r="A21" s="235"/>
      <c r="B21" s="235"/>
      <c r="C21" s="235"/>
      <c r="D21" s="235"/>
      <c r="E21" s="235"/>
    </row>
    <row r="22" spans="1:5" x14ac:dyDescent="0.2">
      <c r="A22" s="235"/>
      <c r="B22" s="235"/>
      <c r="C22" s="235"/>
      <c r="D22" s="235"/>
      <c r="E22" s="235"/>
    </row>
    <row r="23" spans="1:5" x14ac:dyDescent="0.2">
      <c r="A23" s="235"/>
      <c r="B23" s="235"/>
      <c r="C23" s="235"/>
      <c r="D23" s="235"/>
      <c r="E23" s="235"/>
    </row>
    <row r="24" spans="1:5" x14ac:dyDescent="0.2">
      <c r="C24" s="113"/>
      <c r="D24" s="113"/>
    </row>
    <row r="25" spans="1:5" x14ac:dyDescent="0.2">
      <c r="C25" s="113"/>
      <c r="D25" s="113"/>
    </row>
    <row r="26" spans="1:5" x14ac:dyDescent="0.2">
      <c r="C26" s="113"/>
      <c r="D26" s="113"/>
    </row>
    <row r="27" spans="1:5" x14ac:dyDescent="0.2">
      <c r="C27" s="113"/>
      <c r="D27" s="113"/>
    </row>
    <row r="28" spans="1:5" x14ac:dyDescent="0.2">
      <c r="D28" s="113"/>
    </row>
    <row r="30" spans="1:5" x14ac:dyDescent="0.2">
      <c r="C30" s="113"/>
    </row>
  </sheetData>
  <mergeCells count="1">
    <mergeCell ref="A19:E2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Portfolio Optimisation</vt:lpstr>
      <vt:lpstr>Monthly Raw Data</vt:lpstr>
      <vt:lpstr>Cost and Fees</vt:lpstr>
      <vt:lpstr>Current Portfolios</vt:lpstr>
      <vt:lpstr>APRA SRP</vt:lpstr>
      <vt:lpstr>ASFGrowthWeight</vt:lpstr>
      <vt:lpstr>AssetClasses</vt:lpstr>
      <vt:lpstr>CorrelMat8</vt:lpstr>
      <vt:lpstr>CurrentFees</vt:lpstr>
      <vt:lpstr>DefaultBalancedPortfolio</vt:lpstr>
      <vt:lpstr>DefaultGrowthPortfolio</vt:lpstr>
      <vt:lpstr>DefaultPorfolioIndex</vt:lpstr>
      <vt:lpstr>HistoryDates</vt:lpstr>
      <vt:lpstr>NaivePortfolio</vt:lpstr>
      <vt:lpstr>NaivePortfolioIndex</vt:lpstr>
      <vt:lpstr>NaivePortfolioIndexAPRAWeights</vt:lpstr>
      <vt:lpstr>NaivePortfolioIndexDefault</vt:lpstr>
      <vt:lpstr>NaivePortfolioIndexWeights</vt:lpstr>
      <vt:lpstr>OptimiserIndex</vt:lpstr>
      <vt:lpstr>OptimiserWeightConstraintMax</vt:lpstr>
      <vt:lpstr>OptimiserWeightConstraintMin</vt:lpstr>
      <vt:lpstr>PortfolioRangesDefaultMax</vt:lpstr>
      <vt:lpstr>PortfolioRangesDefaultMin</vt:lpstr>
      <vt:lpstr>ReturnFromData</vt:lpstr>
      <vt:lpstr>Returns8</vt:lpstr>
      <vt:lpstr>ReturnToData</vt:lpstr>
      <vt:lpstr>VolMat8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Anthonisz</dc:creator>
  <cp:lastModifiedBy>Microsoft Office User</cp:lastModifiedBy>
  <cp:lastPrinted>2021-05-01T23:04:40Z</cp:lastPrinted>
  <dcterms:created xsi:type="dcterms:W3CDTF">2018-02-23T03:01:44Z</dcterms:created>
  <dcterms:modified xsi:type="dcterms:W3CDTF">2026-03-11T22:22:55Z</dcterms:modified>
</cp:coreProperties>
</file>